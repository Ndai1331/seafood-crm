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9"/>
  <workbookPr defaultThemeVersion="124226"/>
  <mc:AlternateContent xmlns:mc="http://schemas.openxmlformats.org/markup-compatibility/2006">
    <mc:Choice Requires="x15">
      <x15ac:absPath xmlns:x15ac="http://schemas.microsoft.com/office/spreadsheetml/2010/11/ac" url="/Users/mymac/Downloads/IT dev/"/>
    </mc:Choice>
  </mc:AlternateContent>
  <xr:revisionPtr revIDLastSave="0" documentId="13_ncr:1_{9FC51791-6AF6-234F-884F-652AE06053D9}" xr6:coauthVersionLast="47" xr6:coauthVersionMax="47" xr10:uidLastSave="{00000000-0000-0000-0000-000000000000}"/>
  <bookViews>
    <workbookView xWindow="0" yWindow="600" windowWidth="27760" windowHeight="15440" activeTab="5" xr2:uid="{00000000-000D-0000-FFFF-FFFF00000000}"/>
  </bookViews>
  <sheets>
    <sheet name="Thông tin tổng hơp" sheetId="95" r:id="rId1"/>
    <sheet name="Các task chính cần có" sheetId="101" r:id="rId2"/>
    <sheet name="Ví dụ sắp xếp giấy" sheetId="102" r:id="rId3"/>
    <sheet name="Theo dõi hàng nhập hằng ngày" sheetId="96" r:id="rId4"/>
    <sheet name="đưa vào sản xuất" sheetId="94" r:id="rId5"/>
    <sheet name="Xuất khẩu - đơn hàng" sheetId="98" r:id="rId6"/>
    <sheet name="Xuất khẩu -PAYMENT TRACKING" sheetId="99" r:id="rId7"/>
    <sheet name="Xuất khẩu _ DEPOSIT " sheetId="100" r:id="rId8"/>
  </sheets>
  <definedNames>
    <definedName name="_xlnm._FilterDatabase" localSheetId="7" hidden="1">'Xuất khẩu _ DEPOSIT '!$A$1:$A$83</definedName>
    <definedName name="_xlnm._FilterDatabase" localSheetId="6" hidden="1">'Xuất khẩu -PAYMENT TRACKING'!$C$1:$C$568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O7" i="102" l="1"/>
  <c r="AO3" i="102"/>
  <c r="AT19" i="102"/>
  <c r="AT13" i="102"/>
  <c r="AT9" i="102"/>
  <c r="AT5" i="102"/>
  <c r="AI4" i="102"/>
  <c r="T5" i="102"/>
  <c r="AN17" i="102"/>
  <c r="AI17" i="102"/>
  <c r="AH17" i="102"/>
  <c r="AQ11" i="102"/>
  <c r="AS11" i="102" s="1"/>
  <c r="AS12" i="102" s="1"/>
  <c r="AQ8" i="102"/>
  <c r="AS8" i="102" s="1"/>
  <c r="AQ7" i="102"/>
  <c r="AS4" i="102"/>
  <c r="AN7" i="102"/>
  <c r="AM7" i="102"/>
  <c r="AI7" i="102"/>
  <c r="AI8" i="102"/>
  <c r="AJ8" i="102" s="1"/>
  <c r="AH8" i="102"/>
  <c r="AH7" i="102"/>
  <c r="AN3" i="102"/>
  <c r="AM3" i="102"/>
  <c r="AH4" i="102"/>
  <c r="AH11" i="102" s="1"/>
  <c r="AI3" i="102"/>
  <c r="AN2" i="102"/>
  <c r="AK2" i="102"/>
  <c r="AJ2" i="102"/>
  <c r="AF2" i="102"/>
  <c r="AG17" i="102"/>
  <c r="Y6" i="102"/>
  <c r="AE17" i="102" s="1"/>
  <c r="X6" i="102"/>
  <c r="AD17" i="102" s="1"/>
  <c r="F34" i="102"/>
  <c r="Z6" i="102" s="1"/>
  <c r="AF17" i="102" s="1"/>
  <c r="AL17" i="102" s="1"/>
  <c r="G31" i="102"/>
  <c r="G30" i="102"/>
  <c r="G29" i="102"/>
  <c r="G28" i="102"/>
  <c r="AA5" i="102"/>
  <c r="AG11" i="102" s="1"/>
  <c r="AA4" i="102"/>
  <c r="AG7" i="102" s="1"/>
  <c r="AA3" i="102"/>
  <c r="AG3" i="102" s="1"/>
  <c r="Y5" i="102"/>
  <c r="AE11" i="102" s="1"/>
  <c r="Y4" i="102"/>
  <c r="AE7" i="102" s="1"/>
  <c r="Y3" i="102"/>
  <c r="AE3" i="102" s="1"/>
  <c r="X5" i="102"/>
  <c r="AD11" i="102" s="1"/>
  <c r="X4" i="102"/>
  <c r="AD7" i="102" s="1"/>
  <c r="X3" i="102"/>
  <c r="AD3" i="102" s="1"/>
  <c r="AA2" i="102"/>
  <c r="AG2" i="102" s="1"/>
  <c r="Y2" i="102"/>
  <c r="AE2" i="102" s="1"/>
  <c r="X2" i="102"/>
  <c r="AD2" i="102" s="1"/>
  <c r="T4" i="102"/>
  <c r="T6" i="102"/>
  <c r="T7" i="102"/>
  <c r="T8" i="102"/>
  <c r="T3" i="102"/>
  <c r="S4" i="102"/>
  <c r="S5" i="102"/>
  <c r="S6" i="102"/>
  <c r="S7" i="102"/>
  <c r="S8" i="102"/>
  <c r="S3" i="102"/>
  <c r="F25" i="102"/>
  <c r="Z5" i="102" s="1"/>
  <c r="AF11" i="102" s="1"/>
  <c r="G22" i="102"/>
  <c r="G21" i="102"/>
  <c r="G20" i="102"/>
  <c r="G19" i="102"/>
  <c r="F17" i="102"/>
  <c r="Z4" i="102" s="1"/>
  <c r="AF7" i="102" s="1"/>
  <c r="G14" i="102"/>
  <c r="G13" i="102"/>
  <c r="G12" i="102"/>
  <c r="G11" i="102"/>
  <c r="F9" i="102"/>
  <c r="G4" i="102"/>
  <c r="AK4" i="102" s="1"/>
  <c r="G5" i="102"/>
  <c r="AK7" i="102" s="1"/>
  <c r="G6" i="102"/>
  <c r="G3" i="102"/>
  <c r="AK3" i="102" s="1"/>
  <c r="AR3" i="102" s="1"/>
  <c r="I11" i="99"/>
  <c r="G6" i="99"/>
  <c r="I6" i="99" s="1"/>
  <c r="I3" i="99"/>
  <c r="D27" i="95"/>
  <c r="D26" i="95"/>
  <c r="C27" i="95"/>
  <c r="C26" i="95"/>
  <c r="H11" i="94"/>
  <c r="O11" i="94"/>
  <c r="M11" i="94"/>
  <c r="N11" i="94" s="1"/>
  <c r="O14" i="96"/>
  <c r="O13" i="96"/>
  <c r="O12" i="96"/>
  <c r="O11" i="96"/>
  <c r="O10" i="96"/>
  <c r="O9" i="96"/>
  <c r="O8" i="96"/>
  <c r="O7" i="96"/>
  <c r="O6" i="96"/>
  <c r="O5" i="96"/>
  <c r="D59" i="94"/>
  <c r="D58" i="94"/>
  <c r="D57" i="94"/>
  <c r="C57" i="94"/>
  <c r="C56" i="94"/>
  <c r="D55" i="94"/>
  <c r="D54" i="94"/>
  <c r="C53" i="94"/>
  <c r="D52" i="94"/>
  <c r="D51" i="94"/>
  <c r="D50" i="94"/>
  <c r="D49" i="94"/>
  <c r="C48" i="94"/>
  <c r="D47" i="94"/>
  <c r="D46" i="94"/>
  <c r="D45" i="94"/>
  <c r="D44" i="94"/>
  <c r="D43" i="94"/>
  <c r="I43" i="94" s="1"/>
  <c r="C42" i="94"/>
  <c r="D41" i="94"/>
  <c r="D40" i="94"/>
  <c r="D39" i="94"/>
  <c r="D38" i="94"/>
  <c r="D37" i="94"/>
  <c r="D36" i="94"/>
  <c r="D35" i="94"/>
  <c r="C34" i="94"/>
  <c r="D33" i="94"/>
  <c r="D32" i="94"/>
  <c r="D31" i="94"/>
  <c r="C29" i="94"/>
  <c r="D29" i="94" s="1"/>
  <c r="C28" i="94"/>
  <c r="D28" i="94" s="1"/>
  <c r="C27" i="94"/>
  <c r="D26" i="94"/>
  <c r="D25" i="94"/>
  <c r="D24" i="94"/>
  <c r="D23" i="94"/>
  <c r="D22" i="94"/>
  <c r="D21" i="94"/>
  <c r="D20" i="94"/>
  <c r="D19" i="94"/>
  <c r="D18" i="94"/>
  <c r="D17" i="94"/>
  <c r="D16" i="94"/>
  <c r="I16" i="94" s="1"/>
  <c r="D11" i="94"/>
  <c r="C11" i="94"/>
  <c r="B11" i="94"/>
  <c r="E10" i="94"/>
  <c r="E11" i="94" s="1"/>
  <c r="AJ17" i="102" l="1"/>
  <c r="AJ18" i="102" s="1"/>
  <c r="AQ17" i="102"/>
  <c r="AS17" i="102" s="1"/>
  <c r="AS18" i="102" s="1"/>
  <c r="AS19" i="102" s="1"/>
  <c r="AQ3" i="102"/>
  <c r="AJ3" i="102"/>
  <c r="AS3" i="102" s="1"/>
  <c r="AS5" i="102" s="1"/>
  <c r="AL11" i="102"/>
  <c r="AS13" i="102"/>
  <c r="H7" i="102"/>
  <c r="Z3" i="102"/>
  <c r="AF3" i="102" s="1"/>
  <c r="H8" i="102"/>
  <c r="AK11" i="102"/>
  <c r="AJ4" i="102"/>
  <c r="AR7" i="102"/>
  <c r="AJ7" i="102"/>
  <c r="AS7" i="102" s="1"/>
  <c r="AS9" i="102" s="1"/>
  <c r="AJ9" i="102"/>
  <c r="AL7" i="102" s="1"/>
  <c r="H33" i="102"/>
  <c r="H32" i="102"/>
  <c r="U4" i="102"/>
  <c r="U5" i="102"/>
  <c r="U6" i="102"/>
  <c r="U7" i="102"/>
  <c r="U8" i="102"/>
  <c r="U3" i="102"/>
  <c r="H24" i="102"/>
  <c r="H23" i="102"/>
  <c r="H16" i="102"/>
  <c r="H15" i="102"/>
  <c r="E59" i="94"/>
  <c r="I59" i="94"/>
  <c r="E58" i="94"/>
  <c r="I58" i="94"/>
  <c r="E57" i="94"/>
  <c r="K11" i="94"/>
  <c r="I57" i="94"/>
  <c r="E55" i="94"/>
  <c r="I55" i="94"/>
  <c r="D56" i="94"/>
  <c r="I56" i="94" s="1"/>
  <c r="I54" i="94"/>
  <c r="E52" i="94"/>
  <c r="I52" i="94"/>
  <c r="E51" i="94"/>
  <c r="I51" i="94"/>
  <c r="E50" i="94"/>
  <c r="I50" i="94"/>
  <c r="D53" i="94"/>
  <c r="I53" i="94" s="1"/>
  <c r="I49" i="94"/>
  <c r="E49" i="94"/>
  <c r="E53" i="94" s="1"/>
  <c r="E47" i="94"/>
  <c r="I47" i="94"/>
  <c r="E46" i="94"/>
  <c r="I46" i="94"/>
  <c r="E45" i="94"/>
  <c r="I45" i="94"/>
  <c r="E44" i="94"/>
  <c r="I44" i="94"/>
  <c r="I41" i="94"/>
  <c r="E41" i="94"/>
  <c r="I40" i="94"/>
  <c r="E40" i="94"/>
  <c r="I39" i="94"/>
  <c r="E39" i="94"/>
  <c r="E38" i="94"/>
  <c r="I38" i="94"/>
  <c r="I37" i="94"/>
  <c r="E37" i="94"/>
  <c r="E36" i="94"/>
  <c r="I36" i="94"/>
  <c r="D42" i="94"/>
  <c r="I42" i="94" s="1"/>
  <c r="I35" i="94"/>
  <c r="E35" i="94"/>
  <c r="E33" i="94"/>
  <c r="I33" i="94"/>
  <c r="E32" i="94"/>
  <c r="I32" i="94"/>
  <c r="E31" i="94"/>
  <c r="I31" i="94"/>
  <c r="E29" i="94"/>
  <c r="I29" i="94"/>
  <c r="E28" i="94"/>
  <c r="I28" i="94"/>
  <c r="E26" i="94"/>
  <c r="I26" i="94"/>
  <c r="E25" i="94"/>
  <c r="I25" i="94"/>
  <c r="E24" i="94"/>
  <c r="I24" i="94"/>
  <c r="E23" i="94"/>
  <c r="I23" i="94"/>
  <c r="E22" i="94"/>
  <c r="I22" i="94"/>
  <c r="E21" i="94"/>
  <c r="I21" i="94"/>
  <c r="E20" i="94"/>
  <c r="I20" i="94"/>
  <c r="E19" i="94"/>
  <c r="I19" i="94"/>
  <c r="E18" i="94"/>
  <c r="I18" i="94"/>
  <c r="E17" i="94"/>
  <c r="I17" i="94"/>
  <c r="I11" i="94"/>
  <c r="E42" i="94"/>
  <c r="C30" i="94"/>
  <c r="C60" i="94" s="1"/>
  <c r="D48" i="94"/>
  <c r="I48" i="94" s="1"/>
  <c r="E34" i="94"/>
  <c r="E16" i="94"/>
  <c r="D34" i="94"/>
  <c r="I34" i="94" s="1"/>
  <c r="E43" i="94"/>
  <c r="E48" i="94" s="1"/>
  <c r="E54" i="94"/>
  <c r="E56" i="94" s="1"/>
  <c r="D27" i="94"/>
  <c r="AJ5" i="102" l="1"/>
  <c r="E27" i="94"/>
  <c r="I27" i="94"/>
  <c r="E30" i="94"/>
  <c r="E60" i="94" s="1"/>
  <c r="D30" i="94"/>
  <c r="AO5" i="102" l="1"/>
  <c r="AJ11" i="102" s="1"/>
  <c r="AJ12" i="102" s="1"/>
  <c r="AL3" i="102"/>
  <c r="I30" i="94"/>
  <c r="Q11" i="94" s="1"/>
  <c r="J11" i="94"/>
  <c r="R11" i="94" l="1"/>
  <c r="T11" i="94" s="1"/>
  <c r="S11" i="94"/>
  <c r="L11" i="94"/>
  <c r="P11" i="94"/>
</calcChain>
</file>

<file path=xl/sharedStrings.xml><?xml version="1.0" encoding="utf-8"?>
<sst xmlns="http://schemas.openxmlformats.org/spreadsheetml/2006/main" count="603" uniqueCount="424">
  <si>
    <t>BẢNG THEO DÕI NGUYÊN LIỆU CÁ NGỪ NGUYÊN CON CẤP ĐÔNG</t>
  </si>
  <si>
    <t>ĐVT:KG</t>
  </si>
  <si>
    <t>NGUYÊN LIỆU KHO THỰC NHẬN</t>
  </si>
  <si>
    <t>TỔNG</t>
  </si>
  <si>
    <t>GHI CHÚ</t>
  </si>
  <si>
    <t>SỐ KG</t>
  </si>
  <si>
    <t>Tuna loin Co</t>
  </si>
  <si>
    <t>2-4 AA USA</t>
  </si>
  <si>
    <t>Tuna tail Co</t>
  </si>
  <si>
    <t xml:space="preserve">TAIL AA CUT CUBE </t>
  </si>
  <si>
    <t>TUNA RẺO CO LOCK 5KG</t>
  </si>
  <si>
    <t>MẶT HÀNG</t>
  </si>
  <si>
    <t>TỔNG
 CỘNG</t>
  </si>
  <si>
    <t>TỶ LỆ %/
BTP LÀM ĐẸP</t>
  </si>
  <si>
    <t>TỔNG % CO USA</t>
  </si>
  <si>
    <t>TỔNG % CO NỘI ĐỊA</t>
  </si>
  <si>
    <t>TUNA RẺO NOCO LOCK 5KG</t>
  </si>
  <si>
    <t>2-4 AA USA CUT STEAK</t>
  </si>
  <si>
    <t>LOIN AA CUT CUBE</t>
  </si>
  <si>
    <t>TAIL AA CUT STEAK</t>
  </si>
  <si>
    <t xml:space="preserve"> </t>
  </si>
  <si>
    <t>4UP AA USA</t>
  </si>
  <si>
    <t>4UP AA USA CUT STEAK</t>
  </si>
  <si>
    <t>5UPA</t>
  </si>
  <si>
    <t xml:space="preserve">3-5A </t>
  </si>
  <si>
    <t xml:space="preserve">2-3A </t>
  </si>
  <si>
    <t>5UPA NĐ</t>
  </si>
  <si>
    <t>3-5A  NĐ</t>
  </si>
  <si>
    <t>LOIN CUT STEAK NĐ</t>
  </si>
  <si>
    <t>TAIL AA XAY GROUND MEAT</t>
  </si>
  <si>
    <t>TỔNG % CO A</t>
  </si>
  <si>
    <t>2-3A  NĐ</t>
  </si>
  <si>
    <t>TUNA TAIL CUT VỤN 4G</t>
  </si>
  <si>
    <t>2-4 AAA USA SAKU</t>
  </si>
  <si>
    <t>1-2 AAA USA SAKU</t>
  </si>
  <si>
    <t>LOIN AAA CUT SAKU</t>
  </si>
  <si>
    <t>5up</t>
  </si>
  <si>
    <t>2-5kg</t>
  </si>
  <si>
    <t>TỶ LỆ  THU HỒI CUỐI CÙNG</t>
  </si>
  <si>
    <t>Tuna loin Vitamin</t>
  </si>
  <si>
    <t>1-2KG</t>
  </si>
  <si>
    <t>cut steak</t>
  </si>
  <si>
    <t>Tuna tail vitamin cut steak</t>
  </si>
  <si>
    <t>TỔNG % loin vitamin</t>
  </si>
  <si>
    <t>TUNA RẺO VITAMIN LOCK 5KG</t>
  </si>
  <si>
    <t>cut saku</t>
  </si>
  <si>
    <t>CONT NO</t>
  </si>
  <si>
    <t>TUNA TAIL CUT CUBE</t>
  </si>
  <si>
    <t>WR</t>
  </si>
  <si>
    <t>TỔNG % LOIN  NOCO</t>
  </si>
  <si>
    <t>Ngày</t>
  </si>
  <si>
    <t>1-2A NĐ</t>
  </si>
  <si>
    <t>5-8kg</t>
  </si>
  <si>
    <t>TUNA LOIN 2-5KG</t>
  </si>
  <si>
    <t>TUNA LOIN 3-5LBS TAIL WITHKIN</t>
  </si>
  <si>
    <t>TỔNG %  TAIL  NOCO</t>
  </si>
  <si>
    <t>20UP</t>
  </si>
  <si>
    <t>10-20KG</t>
  </si>
  <si>
    <t>20UP-MÓP</t>
  </si>
  <si>
    <t>TUNA LOIN CUT CUBE</t>
  </si>
  <si>
    <t>2-4 AA USA (2)</t>
  </si>
  <si>
    <t>4UP AA USA (2)</t>
  </si>
  <si>
    <t>5UPA SAKU (2)</t>
  </si>
  <si>
    <t>31/7/26</t>
  </si>
  <si>
    <t>FBIU 5794621</t>
  </si>
  <si>
    <t>TUNA LOIN 5-9LBS</t>
  </si>
  <si>
    <t>Loại cá</t>
  </si>
  <si>
    <t>Cá Ngừ</t>
  </si>
  <si>
    <t>GG</t>
  </si>
  <si>
    <t>DWT</t>
  </si>
  <si>
    <t>Cá nguyên con</t>
  </si>
  <si>
    <t>Cá đã bỏ nội tạng và vây</t>
  </si>
  <si>
    <t>Cá đã bỏ đầu</t>
  </si>
  <si>
    <t>Size</t>
  </si>
  <si>
    <t>10-20kg</t>
  </si>
  <si>
    <t>20kg up</t>
  </si>
  <si>
    <t>Cấn/ Móp</t>
  </si>
  <si>
    <t>Đánh giá cảm quan</t>
  </si>
  <si>
    <t>Đẹp</t>
  </si>
  <si>
    <t>Khô</t>
  </si>
  <si>
    <t>30kg Up</t>
  </si>
  <si>
    <t>20-30kg</t>
  </si>
  <si>
    <t>Size từ 10 đến 20 kg</t>
  </si>
  <si>
    <t>Size từ 20 kg trở lên</t>
  </si>
  <si>
    <t>Size từ 20 đến 30 kg</t>
  </si>
  <si>
    <t>Size từ 30kg trở lên</t>
  </si>
  <si>
    <t>Phương thức đánh bắt</t>
  </si>
  <si>
    <t>Handline</t>
  </si>
  <si>
    <t>Long line</t>
  </si>
  <si>
    <t>PS</t>
  </si>
  <si>
    <t>PS Muối</t>
  </si>
  <si>
    <t>Các giấy tờ kèm theo</t>
  </si>
  <si>
    <t>EUCC</t>
  </si>
  <si>
    <t>COA</t>
  </si>
  <si>
    <t>MSC</t>
  </si>
  <si>
    <t>Đi được cho thị trường Châu Âu</t>
  </si>
  <si>
    <t>ĐI được cho thị trường Mỹ</t>
  </si>
  <si>
    <t>Giấy chứng nhận kèm theo, có thể kèm theo EUCC hoặc COA để đi cho nhiều thị trường</t>
  </si>
  <si>
    <t>Nguồn gốc</t>
  </si>
  <si>
    <t>Việt Nam</t>
  </si>
  <si>
    <t>Nhập khẩu</t>
  </si>
  <si>
    <t>Phương thức cấp đông</t>
  </si>
  <si>
    <t>Landfrozen</t>
  </si>
  <si>
    <t>Seafrozen</t>
  </si>
  <si>
    <t>KHÁCH HÀNG</t>
  </si>
  <si>
    <t>MÃ 
KHÁCH</t>
  </si>
  <si>
    <t>PURCHASER</t>
  </si>
  <si>
    <t>THIẾU CTU</t>
  </si>
  <si>
    <t>COMMODITY/ Tên Hàng</t>
  </si>
  <si>
    <t>TUNA (KGS)</t>
  </si>
  <si>
    <t>MAHI
(KGS)</t>
  </si>
  <si>
    <t>THÀNH PHẨM
(LBS)</t>
  </si>
  <si>
    <t>Quant. CONT</t>
  </si>
  <si>
    <t>ETA/Hàng Đến cảng</t>
  </si>
  <si>
    <t>PRICE/ Giá
(USD)</t>
  </si>
  <si>
    <t>Invoice amount/ Số Tiền(USD)</t>
  </si>
  <si>
    <t>PAYMENT
TERM/ Phương Thức TT</t>
  </si>
  <si>
    <t>ESTIMATE PAYMENT DATE/ Ngày Thanh Toán</t>
  </si>
  <si>
    <t>NGÀY VỀ KHO</t>
  </si>
  <si>
    <t xml:space="preserve">CARE </t>
  </si>
  <si>
    <t>NHẬP FILE NGUYÊN LIỆU</t>
  </si>
  <si>
    <t xml:space="preserve">BL </t>
  </si>
  <si>
    <t xml:space="preserve">CONT </t>
  </si>
  <si>
    <t>LƯỢNG-2</t>
  </si>
  <si>
    <t>XE</t>
  </si>
  <si>
    <t xml:space="preserve">SỐ LOT </t>
  </si>
  <si>
    <t>SỐ TK</t>
  </si>
  <si>
    <t>XUẤT XỨ</t>
  </si>
  <si>
    <t xml:space="preserve">ACTUAL 
WEIGHT </t>
  </si>
  <si>
    <t>LƯỢNG THỰC NHẬN</t>
  </si>
  <si>
    <t>LƯỢNG VIẾT LẠI</t>
  </si>
  <si>
    <t>LONG LINE</t>
  </si>
  <si>
    <t>HANDLINE</t>
  </si>
  <si>
    <t>LAND</t>
  </si>
  <si>
    <t>092</t>
  </si>
  <si>
    <t>C.H</t>
  </si>
  <si>
    <t>TUNA WR 30 KGS UP</t>
  </si>
  <si>
    <t>1X40</t>
  </si>
  <si>
    <t>03-21/04</t>
  </si>
  <si>
    <t>LC</t>
  </si>
  <si>
    <t>24/04</t>
  </si>
  <si>
    <t>30/04
(nhập kho 02/05)</t>
  </si>
  <si>
    <t>EU</t>
  </si>
  <si>
    <t>X</t>
  </si>
  <si>
    <t>114G000670</t>
  </si>
  <si>
    <t>FBIU5299572</t>
  </si>
  <si>
    <t>'100313092122G</t>
  </si>
  <si>
    <t>108197892130</t>
  </si>
  <si>
    <t>DƯ 40KG</t>
  </si>
  <si>
    <t>155</t>
  </si>
  <si>
    <t>TUNA WR 20UP (PRE)</t>
  </si>
  <si>
    <t>04/05</t>
  </si>
  <si>
    <t>TT</t>
  </si>
  <si>
    <t>06/05</t>
  </si>
  <si>
    <t>USA/ Khác</t>
  </si>
  <si>
    <t>EGLV081600113202</t>
  </si>
  <si>
    <t>EMCU5652246</t>
  </si>
  <si>
    <t>AHUY</t>
  </si>
  <si>
    <t>'100413155126G</t>
  </si>
  <si>
    <t>108207277621</t>
  </si>
  <si>
    <t>THIẾU 58KG</t>
  </si>
  <si>
    <t>TUNA WR 10-20 (PRE)</t>
  </si>
  <si>
    <t>TUNA WR 20UP - 2 (PRE)</t>
  </si>
  <si>
    <t>TUNA WR 20UP (NOR)</t>
  </si>
  <si>
    <t>TUNA WR 10-20 (NOR)</t>
  </si>
  <si>
    <t>BS-1/7</t>
  </si>
  <si>
    <t>TUNA WR 20UP(20%)</t>
  </si>
  <si>
    <t>05/05</t>
  </si>
  <si>
    <t>07/05</t>
  </si>
  <si>
    <t>EGLV080600159433</t>
  </si>
  <si>
    <t>EGSU5072036</t>
  </si>
  <si>
    <t>TN</t>
  </si>
  <si>
    <t>'101213162127G</t>
  </si>
  <si>
    <t>108211952700</t>
  </si>
  <si>
    <t>THIẾU 16KG</t>
  </si>
  <si>
    <t>TUNA WR 20UP</t>
  </si>
  <si>
    <t>08/05</t>
  </si>
  <si>
    <t>11/05</t>
  </si>
  <si>
    <t>EGLV081600122082</t>
  </si>
  <si>
    <t>EMCU5683545</t>
  </si>
  <si>
    <t>100513155131G</t>
  </si>
  <si>
    <t>108219786401</t>
  </si>
  <si>
    <t>TUNA WR 20UP - 2</t>
  </si>
  <si>
    <t>TUNA WR 10-20UP (30%)</t>
  </si>
  <si>
    <t>11-16/05</t>
  </si>
  <si>
    <t>14/05</t>
  </si>
  <si>
    <t>18/05</t>
  </si>
  <si>
    <t>NSSLIKHCC2600348</t>
  </si>
  <si>
    <t>FSCU 5772963</t>
  </si>
  <si>
    <t>101513171138G</t>
  </si>
  <si>
    <t>108245280840</t>
  </si>
  <si>
    <t>thiếu 45kg</t>
  </si>
  <si>
    <t>Khách 92
PC-1032III/26-QT
RIZWAN</t>
  </si>
  <si>
    <t>Khách 155
PC-4704 - COA - Kenrick 272</t>
  </si>
  <si>
    <t>Khách 162
PC-5704 -Elbert- EUCC</t>
  </si>
  <si>
    <t>Khách 155
PC-5404 - COA - Kenrick 273</t>
  </si>
  <si>
    <t>Khách 171
PC-104904- COA-036- Veny</t>
  </si>
  <si>
    <t>* tên khách / Số Hợp đồng / tên người liên hệ</t>
  </si>
  <si>
    <t>Giải thích</t>
  </si>
  <si>
    <t>Người mua hàng</t>
  </si>
  <si>
    <t>Chứng từ còn thiếu,cần bổ sung</t>
  </si>
  <si>
    <t>Số lượng container ( 1 hợp đồng có thể có nhiều hơn 1 container)</t>
  </si>
  <si>
    <t>Tên kho</t>
  </si>
  <si>
    <t>Thị trường xuất khẩu dự tính cho lô hàng ( liên quan đến giấy tờ kèm theo)</t>
  </si>
  <si>
    <t>Số hiệu Container</t>
  </si>
  <si>
    <t>Khối lượng tổng của từng container</t>
  </si>
  <si>
    <t>Nhà xe vận chuyện từ cảng về nhà máy</t>
  </si>
  <si>
    <t>Số Lô nguyên liệu</t>
  </si>
  <si>
    <t>Số tờ khai hải quan</t>
  </si>
  <si>
    <t>BẢNG THEO DÕI NGUYÊN LIỆU NHẬP KHẨU VỀ NHÀ MÁY</t>
  </si>
  <si>
    <t>CHI PHÍ HÀNG NHẬP</t>
  </si>
  <si>
    <t>Số Bill of Lading  (Số vận đơn)</t>
  </si>
  <si>
    <t>Phí lấy lệnh</t>
  </si>
  <si>
    <t>Phí điện lạnh</t>
  </si>
  <si>
    <t>Phí nâng hạ container</t>
  </si>
  <si>
    <t>Phí Hải quan</t>
  </si>
  <si>
    <t>Phí hạ tầng</t>
  </si>
  <si>
    <t>Ngày lưu cảng</t>
  </si>
  <si>
    <t>Ngày lưu cảng = ngày kéo cont - ngày hàng đến</t>
  </si>
  <si>
    <t>Định mức BTP</t>
  </si>
  <si>
    <t>Rẻo thu được</t>
  </si>
  <si>
    <t>Định mức thu hồi</t>
  </si>
  <si>
    <t>Lượng Bán thành phẩm thu được (KG)</t>
  </si>
  <si>
    <t>Tổng Thu hồi cuối cùng (KG)</t>
  </si>
  <si>
    <t>Màu xanh = phân tích / báo cáo</t>
  </si>
  <si>
    <t>Giá mua ( link từ theo dõi hàng nhập hằng ngày)</t>
  </si>
  <si>
    <t>100313092122G</t>
  </si>
  <si>
    <t xml:space="preserve"> NHẬP NGÀY: 31/07/2026, Mã Số Lô: 100313092122G</t>
  </si>
  <si>
    <t>Giá trị hàng hóa trên invoice</t>
  </si>
  <si>
    <t>Giá sau điều chỉnh ( nếu có)</t>
  </si>
  <si>
    <t>Điều chỉnh nếu hàng có vấn đề</t>
  </si>
  <si>
    <t>Tỷ giá</t>
  </si>
  <si>
    <t>Giá bình quân/kg</t>
  </si>
  <si>
    <t>Giá trị thu được</t>
  </si>
  <si>
    <t>Giá trị</t>
  </si>
  <si>
    <t xml:space="preserve">Đơn giá </t>
  </si>
  <si>
    <t>USD</t>
  </si>
  <si>
    <t>VND</t>
  </si>
  <si>
    <t>Lãi lỗ dự kiến</t>
  </si>
  <si>
    <t>Thị trường xuất khẩu</t>
  </si>
  <si>
    <t>USA</t>
  </si>
  <si>
    <t>USA/ khác</t>
  </si>
  <si>
    <t>Châu âu</t>
  </si>
  <si>
    <t>Khác</t>
  </si>
  <si>
    <t>Tất cả các thị trường</t>
  </si>
  <si>
    <t>Châu âu. Khác</t>
  </si>
  <si>
    <t>Yêu cầu của thị trường</t>
  </si>
  <si>
    <t>Châu Âu</t>
  </si>
  <si>
    <t>Must have</t>
  </si>
  <si>
    <t>Add-on ( chỉ khi khách hàng cần)</t>
  </si>
  <si>
    <t>Không đòi hỏi</t>
  </si>
  <si>
    <t>Thị trường xuất khẩu có thể xuất</t>
  </si>
  <si>
    <t>NGÀY ĐÓNG HÀNG</t>
  </si>
  <si>
    <t xml:space="preserve">SỐ TBSX
 LÔ HÀNG </t>
  </si>
  <si>
    <t xml:space="preserve">MÃ KHÁCH HÀNG </t>
  </si>
  <si>
    <t xml:space="preserve">TÊN KHÁCH HÀNG </t>
  </si>
  <si>
    <t xml:space="preserve">THỜI GIAN HẠ BÃI </t>
  </si>
  <si>
    <t xml:space="preserve">GHI CHÚ </t>
  </si>
  <si>
    <t>ETD</t>
  </si>
  <si>
    <t>ETA</t>
  </si>
  <si>
    <t xml:space="preserve">SALES CONTRACT </t>
  </si>
  <si>
    <t xml:space="preserve">INVOICE NO </t>
  </si>
  <si>
    <t>PAYMENT TERM</t>
  </si>
  <si>
    <t>TUNA 
(CTNS)</t>
  </si>
  <si>
    <t xml:space="preserve">QUANTITY
(NW-LBS) </t>
  </si>
  <si>
    <t xml:space="preserve">QUANTITY
(NW-KGS) </t>
  </si>
  <si>
    <t xml:space="preserve">AMOUNT 
(USD) </t>
  </si>
  <si>
    <t xml:space="preserve"> 20RF' </t>
  </si>
  <si>
    <t xml:space="preserve"> 40RF' </t>
  </si>
  <si>
    <t>Carrier</t>
  </si>
  <si>
    <t xml:space="preserve"> CHUYẾN  </t>
  </si>
  <si>
    <t xml:space="preserve">
FWD NAME
</t>
  </si>
  <si>
    <t xml:space="preserve">TRANSPORT
NAME </t>
  </si>
  <si>
    <t>E110</t>
  </si>
  <si>
    <t>TT (20+80)</t>
  </si>
  <si>
    <t>CÁI MÉP -SAINT PETERSBURG, RUSSIA</t>
  </si>
  <si>
    <t>GIA NGUYỄN LOGISTICS</t>
  </si>
  <si>
    <t xml:space="preserve">HUỲNH GIA PHÁT </t>
  </si>
  <si>
    <t>E101</t>
  </si>
  <si>
    <t>TT (20+60+20)</t>
  </si>
  <si>
    <t>E118</t>
  </si>
  <si>
    <t>TT (30+70)</t>
  </si>
  <si>
    <t>E45</t>
  </si>
  <si>
    <t xml:space="preserve">LC 45 DAYS PASS FDA </t>
  </si>
  <si>
    <t>E12</t>
  </si>
  <si>
    <t>LC 45 DAYS</t>
  </si>
  <si>
    <t>MSK</t>
  </si>
  <si>
    <t>CÁI MÉP - REUNION PORT</t>
  </si>
  <si>
    <t>MAERSK LINE</t>
  </si>
  <si>
    <t>OCEAN BRIDGE</t>
  </si>
  <si>
    <t>THÁNG 6</t>
  </si>
  <si>
    <t>103/26</t>
  </si>
  <si>
    <t>0601-I/2026</t>
  </si>
  <si>
    <t>SZLU9593933</t>
  </si>
  <si>
    <t>53/26</t>
  </si>
  <si>
    <t>260347/AH</t>
  </si>
  <si>
    <t>0602-I/2026</t>
  </si>
  <si>
    <t>MNBU4369773</t>
  </si>
  <si>
    <t>69/26</t>
  </si>
  <si>
    <t>260375-Trang 29</t>
  </si>
  <si>
    <t>0603-I/2026</t>
  </si>
  <si>
    <t>MSGU9290494</t>
  </si>
  <si>
    <t>Khách 118</t>
  </si>
  <si>
    <t>Khách 12</t>
  </si>
  <si>
    <t>Khách 110</t>
  </si>
  <si>
    <t>Số hợp đồng ( có thể có 2 số Hợp đồng theo công ty và số hợp đồng của khách hàng</t>
  </si>
  <si>
    <t xml:space="preserve">Số hóa đơn </t>
  </si>
  <si>
    <t>Phương thức thanh toán</t>
  </si>
  <si>
    <t>Lượng tính bằng pound</t>
  </si>
  <si>
    <t>Lượng tính bằng KG</t>
  </si>
  <si>
    <t>Giá trị đơn hàng</t>
  </si>
  <si>
    <t>Số container</t>
  </si>
  <si>
    <t>Loại cont ( 20RF hoặc 40 RF)</t>
  </si>
  <si>
    <t>Hãng tàu vận chuyển container</t>
  </si>
  <si>
    <t>Điểm đi - điểm đến</t>
  </si>
  <si>
    <t>Tên forwarder</t>
  </si>
  <si>
    <t>Nhà xe vận chuyện nội địa từ công ty đến cảng</t>
  </si>
  <si>
    <t>Số thùng thành phẩm</t>
  </si>
  <si>
    <t>THEO DÕI THANH TOÁN 2026</t>
  </si>
  <si>
    <t>SỐ INVOICE</t>
  </si>
  <si>
    <t xml:space="preserve">TỔNG TIỀN 
(USD) </t>
  </si>
  <si>
    <t>PHƯƠNG THỨC THANH TOÁN</t>
  </si>
  <si>
    <t xml:space="preserve">THANH TOÁN CHI TIẾT </t>
  </si>
  <si>
    <t xml:space="preserve">NGÀY NHẬN </t>
  </si>
  <si>
    <t xml:space="preserve">ĐẾN HẠN THANH TOÁN </t>
  </si>
  <si>
    <t>OF</t>
  </si>
  <si>
    <t>108/26</t>
  </si>
  <si>
    <t>0613-I/2026</t>
  </si>
  <si>
    <t>119/26</t>
  </si>
  <si>
    <t>0617-I/2026</t>
  </si>
  <si>
    <t>35/26</t>
  </si>
  <si>
    <t>0618-I/2026</t>
  </si>
  <si>
    <t>115/26</t>
  </si>
  <si>
    <t>E137</t>
  </si>
  <si>
    <t>0619-I/2026</t>
  </si>
  <si>
    <t>Khách 45</t>
  </si>
  <si>
    <t>Khách 101</t>
  </si>
  <si>
    <t>Khách 137</t>
  </si>
  <si>
    <t>Số Thông báo sản xuất</t>
  </si>
  <si>
    <t>Ngày tàu đến cảng của khách hàng)</t>
  </si>
  <si>
    <t>Ngày tàu đi khỏi VN</t>
  </si>
  <si>
    <t>TT = thanh toán trực tiếp</t>
  </si>
  <si>
    <t>LC = bảo lãnh thanh toán của ngân hàng</t>
  </si>
  <si>
    <t xml:space="preserve">DEPOSIT </t>
  </si>
  <si>
    <t xml:space="preserve">SỐ TIỀN </t>
  </si>
  <si>
    <t>NGÀY NHẬN</t>
  </si>
  <si>
    <t xml:space="preserve">HĐ NO </t>
  </si>
  <si>
    <t xml:space="preserve">TÌNH TRẠNG </t>
  </si>
  <si>
    <t>260238-Trang 23 : 30750 - ĐÃ XUẤT 0309.26
260239-Trang 24 : 31500- ĐÃ XUẤT 0310.26
260240-Trang 25: 23040 - ĐÃ XUẤT 0318.26
260237-Trang 22 : 12250-ĐÃ XUẤT 0413.26
260241-Trang 26 : 23040-ĐÃ XUẤT 0418.26
260242-Trang 27 : 12250-ĐÃ XUẤT 0421.26</t>
  </si>
  <si>
    <t xml:space="preserve">260237-Trang 22 : 12250
260238-Trang 23 : 30750
260239-Trang 24 : 31500
260240-Trang 25 : 23040
260241-Trang 26 : 23040
260242-Trang 27 : 12250
</t>
  </si>
  <si>
    <t>ĐÃ XUẤT 0306.26</t>
  </si>
  <si>
    <t>ĐÃ XUẤT 0316.26</t>
  </si>
  <si>
    <t>ĐÃ XUẤT 0502.26</t>
  </si>
  <si>
    <t xml:space="preserve"> 265111 : 30750-ĐÃ XUẤT 0620.26
265112 : 12500-ĐÃ XUẤT 0711.26
265113 : 24240 - ĐÃ XUẤT 0718.26</t>
  </si>
  <si>
    <r>
      <rPr>
        <b/>
        <sz val="11"/>
        <color theme="1"/>
        <rFont val="Calibri"/>
        <family val="2"/>
        <scheme val="minor"/>
      </rPr>
      <t>UFS-E137</t>
    </r>
    <r>
      <rPr>
        <sz val="11"/>
        <color theme="1"/>
        <rFont val="Calibri"/>
        <family val="2"/>
        <scheme val="minor"/>
      </rPr>
      <t xml:space="preserve">
265110 : 32500
265111 : 30750
265112 : 12500
265113 : 24240</t>
    </r>
  </si>
  <si>
    <t>Note</t>
  </si>
  <si>
    <t>Khách 119</t>
  </si>
  <si>
    <t>Báo cáo cần có</t>
  </si>
  <si>
    <t>Dash board chính : có thể ghim các báo cáo này, có thể thể hiện dươi dạng pie chart</t>
  </si>
  <si>
    <t>Danh sách hàng về, có thể xuất báo cáo theo tất cả các yêu cầu người dùng muốn, có thể chọn favorite một số các báo cáo thường sử dụng</t>
  </si>
  <si>
    <t>Nhập hàng, xuất hàng</t>
  </si>
  <si>
    <t>Có thể quy đổi giữa đơn vị tính pound Mỹ và KG cho các đơn hàng xuất khẩu</t>
  </si>
  <si>
    <t>Xuất khẩu</t>
  </si>
  <si>
    <t>Sử dụng danh sách khách hàng và danh sách sản phẩm, tạo báo giá trên phần mềm bằng cách chọn khách hàng, sản phẩm, khối lượng, v.v..; phần mềm tự động tạo ra báo giá/ hợp đồng mua bán. ( Tương tự thao tác như khi viết hóa đơn điện tử) ; Có chức năng suggest giá dựa vào giá bán của sản phẩm đó cho chính khách hàng đó vào hợp đồng gần nhất)</t>
  </si>
  <si>
    <t>Có chức năng duyệt Hợp đồng, phân tích biến động giá của sản phẩm so với HĐ mới nhất, và so với giá đã bán cho khách hàng khác trong 2 tháng gần nhất</t>
  </si>
  <si>
    <t>Lot number / mã lô hàng</t>
  </si>
  <si>
    <t>Ngày nhập kho</t>
  </si>
  <si>
    <t>Sản phảm thu hồi</t>
  </si>
  <si>
    <t>Định mức</t>
  </si>
  <si>
    <t>Loin USA</t>
  </si>
  <si>
    <t>Loin EU</t>
  </si>
  <si>
    <t>Cá cắt khúc USA</t>
  </si>
  <si>
    <t>Khối lượng thu được</t>
  </si>
  <si>
    <t>Vụn cá (phụ phẩm</t>
  </si>
  <si>
    <t>Đuôi (phụ phẩm)</t>
  </si>
  <si>
    <t>Tỷ lệ thu hồi</t>
  </si>
  <si>
    <t>Khối lượng nguyên liệu sử dụng (KG)</t>
  </si>
  <si>
    <t>trong nước</t>
  </si>
  <si>
    <t>Cá cắt khúc E2</t>
  </si>
  <si>
    <t>EU/ Korea</t>
  </si>
  <si>
    <t>EU/Korea</t>
  </si>
  <si>
    <t>Đơn hàng cần xuất</t>
  </si>
  <si>
    <t>Số HĐ</t>
  </si>
  <si>
    <t>Mặt hàng</t>
  </si>
  <si>
    <t>Số lượng</t>
  </si>
  <si>
    <t>X01</t>
  </si>
  <si>
    <t>X02</t>
  </si>
  <si>
    <t>X03</t>
  </si>
  <si>
    <t>Giấy tờ của lô hàng</t>
  </si>
  <si>
    <t>Korea</t>
  </si>
  <si>
    <t>Danh sách hàng nhập</t>
  </si>
  <si>
    <t>Khối lượng NL</t>
  </si>
  <si>
    <t>NL 117</t>
  </si>
  <si>
    <t>NL 118</t>
  </si>
  <si>
    <t>NL 119</t>
  </si>
  <si>
    <t>NL 120</t>
  </si>
  <si>
    <t>Trù lùi nguyên liệu đã sử dụng (nội bộ)</t>
  </si>
  <si>
    <t>Sản phẩm thu được</t>
  </si>
  <si>
    <t>Đơn hàng XK</t>
  </si>
  <si>
    <t>Khối lượng NL còn lại</t>
  </si>
  <si>
    <t>SL trong kho</t>
  </si>
  <si>
    <t>Ghi chú nội bộ</t>
  </si>
  <si>
    <t>Dư NL, có thể điều chỉnh định mức lại để làm tròn số NL, giảm số lượng giấy tờ cần khai báo</t>
  </si>
  <si>
    <t>Thiếu NL cho đơn hàng X01, chỉ có thể lấy 5000KG, cần lấy bổ sung từ lô NL khác, chỉnh định mức để làm tròn số lượng NL sử dụng về 0</t>
  </si>
  <si>
    <t>Khối lượng sản phẩm thu hồi mong muốn để xuất bán</t>
  </si>
  <si>
    <t>Khối lượng sản phẩm thu hồi sau chỉnh</t>
  </si>
  <si>
    <t>Định mức sau chỉnh</t>
  </si>
  <si>
    <t>Khối lượng NL sử dụng sau chỉnh</t>
  </si>
  <si>
    <t>Check</t>
  </si>
  <si>
    <t>Cần 2000kg cho đơn X01, chỉnh định mức để làm tròn số NL cho dễ tính</t>
  </si>
  <si>
    <t>X05 ( nếu có sau này)</t>
  </si>
  <si>
    <t>Khối lượng cần xuât cho các Hợp đòng</t>
  </si>
  <si>
    <t>SL còn lại</t>
  </si>
  <si>
    <t>Tình trạng chứng từ</t>
  </si>
  <si>
    <t>Đủ chứng từ</t>
  </si>
  <si>
    <t>Có thể điều chỉnh định mức làm tròn nguyên liệu</t>
  </si>
  <si>
    <t>X04</t>
  </si>
  <si>
    <t>Đủ hàng trong kho, nhưng chưa có chứng từ để xuất, cần mua thêm NL có chứng từ phù hợp</t>
  </si>
  <si>
    <t>Hàng sãn xuất theo thực tế</t>
  </si>
  <si>
    <t>Workflow</t>
  </si>
  <si>
    <t>Theo dõi tình trạng đơn hàng ( đã ký HĐ, đủ hàng XK, đã đủ chứng từ , đã xuất, đã/chưa thanh toán,v.v..)</t>
  </si>
  <si>
    <t>Quản lý chung</t>
  </si>
  <si>
    <t>SL, giá trị hàng đã mua, hàng đã bán</t>
  </si>
  <si>
    <t>Hiệu quả của từng đơn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</si>
</sst>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quot;$&quot;#,##0.00"/>
    <numFmt numFmtId="165" formatCode="_(* #,##0_);_(* \(#,##0\);_(* &quot;-&quot;??_);_(@_)"/>
    <numFmt numFmtId="166" formatCode="0.000"/>
  </numFmts>
  <fonts count="25" x14ac:knownFonts="1">
    <font>
      <sz val="11"/>
      <color theme="1"/>
      <name val="Calibri"/>
      <family val="2"/>
      <scheme val="minor"/>
    </font>
    <font>
      <sz val="11"/>
      <color theme="1"/>
      <name val="Calibri"/>
      <family val="2"/>
      <scheme val="minor"/>
    </font>
    <font>
      <b/>
      <sz val="11"/>
      <name val="Times New Roman"/>
      <family val="1"/>
    </font>
    <font>
      <b/>
      <sz val="16"/>
      <name val="Times New Roman"/>
      <family val="1"/>
    </font>
    <font>
      <b/>
      <sz val="9"/>
      <name val="Times New Roman"/>
      <family val="1"/>
    </font>
    <font>
      <sz val="11"/>
      <name val="Calibri"/>
      <family val="2"/>
      <scheme val="minor"/>
    </font>
    <font>
      <b/>
      <sz val="13"/>
      <name val="Times New Roman"/>
      <family val="1"/>
    </font>
    <font>
      <b/>
      <sz val="14"/>
      <name val="Times New Roman"/>
      <family val="1"/>
    </font>
    <font>
      <sz val="12"/>
      <name val="Calibri"/>
      <family val="2"/>
      <scheme val="minor"/>
    </font>
    <font>
      <b/>
      <sz val="10"/>
      <name val="Times New Roman"/>
      <family val="1"/>
    </font>
    <font>
      <b/>
      <sz val="13"/>
      <color theme="1"/>
      <name val="Times New Roman"/>
      <family val="1"/>
    </font>
    <font>
      <b/>
      <sz val="13"/>
      <color rgb="FF0000CC"/>
      <name val="Times New Roman"/>
      <family val="1"/>
    </font>
    <font>
      <b/>
      <sz val="13"/>
      <color rgb="FFFF0000"/>
      <name val="Times New Roman"/>
      <family val="1"/>
    </font>
    <font>
      <b/>
      <sz val="11"/>
      <color theme="1"/>
      <name val="Times New Roman"/>
      <family val="1"/>
    </font>
    <font>
      <b/>
      <sz val="11"/>
      <color rgb="FFFF0000"/>
      <name val="Times New Roman"/>
      <family val="1"/>
    </font>
    <font>
      <b/>
      <sz val="11"/>
      <color theme="1"/>
      <name val="Calibri"/>
      <family val="2"/>
      <scheme val="minor"/>
    </font>
    <font>
      <b/>
      <sz val="11"/>
      <name val="Calibri"/>
      <family val="2"/>
      <scheme val="minor"/>
    </font>
    <font>
      <b/>
      <sz val="10"/>
      <color theme="1"/>
      <name val="Times New Roman"/>
      <family val="1"/>
    </font>
    <font>
      <sz val="9"/>
      <color theme="1"/>
      <name val="Times New Roman"/>
      <family val="1"/>
    </font>
    <font>
      <b/>
      <sz val="9"/>
      <color rgb="FF0000FF"/>
      <name val="Times New Roman"/>
      <family val="1"/>
    </font>
    <font>
      <b/>
      <sz val="9"/>
      <color theme="1"/>
      <name val="Times New Roman"/>
      <family val="1"/>
    </font>
    <font>
      <sz val="11"/>
      <color rgb="FFFF0000"/>
      <name val="Calibri"/>
      <family val="2"/>
      <scheme val="minor"/>
    </font>
    <font>
      <sz val="9"/>
      <color rgb="FFFF0000"/>
      <name val="Times New Roman"/>
      <family val="1"/>
    </font>
    <font>
      <b/>
      <sz val="22"/>
      <color rgb="FF002060"/>
      <name val="Times New Roman"/>
      <family val="1"/>
    </font>
    <font>
      <sz val="11"/>
      <color rgb="FF00B050"/>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00CCFF"/>
        <bgColor indexed="64"/>
      </patternFill>
    </fill>
    <fill>
      <patternFill patternType="solid">
        <fgColor rgb="FF99CCFF"/>
        <bgColor indexed="64"/>
      </patternFill>
    </fill>
  </fills>
  <borders count="19">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bottom style="thin">
        <color auto="1"/>
      </bottom>
      <diagonal/>
    </border>
    <border>
      <left/>
      <right/>
      <top style="thin">
        <color auto="1"/>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bottom/>
      <diagonal/>
    </border>
    <border>
      <left style="hair">
        <color auto="1"/>
      </left>
      <right style="hair">
        <color auto="1"/>
      </right>
      <top style="hair">
        <color auto="1"/>
      </top>
      <bottom style="hair">
        <color auto="1"/>
      </bottom>
      <diagonal/>
    </border>
    <border>
      <left style="thin">
        <color auto="1"/>
      </left>
      <right style="hair">
        <color auto="1"/>
      </right>
      <top/>
      <bottom/>
      <diagonal/>
    </border>
    <border>
      <left style="hair">
        <color auto="1"/>
      </left>
      <right style="hair">
        <color indexed="64"/>
      </right>
      <top/>
      <bottom style="hair">
        <color auto="1"/>
      </bottom>
      <diagonal/>
    </border>
    <border>
      <left/>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19">
    <xf numFmtId="0" fontId="0" fillId="0" borderId="0" xfId="0"/>
    <xf numFmtId="10" fontId="4" fillId="4" borderId="6" xfId="2" applyNumberFormat="1" applyFont="1" applyFill="1" applyBorder="1" applyAlignment="1">
      <alignment horizontal="center" vertical="center"/>
    </xf>
    <xf numFmtId="43" fontId="5" fillId="0" borderId="0" xfId="1" applyFont="1" applyAlignment="1">
      <alignment vertical="center"/>
    </xf>
    <xf numFmtId="43" fontId="5" fillId="2" borderId="0" xfId="1" applyFont="1" applyFill="1" applyAlignment="1">
      <alignment horizontal="center" vertical="center"/>
    </xf>
    <xf numFmtId="43" fontId="4" fillId="2" borderId="6" xfId="1" quotePrefix="1" applyFont="1" applyFill="1" applyBorder="1" applyAlignment="1">
      <alignment horizontal="center" vertical="center"/>
    </xf>
    <xf numFmtId="43" fontId="4" fillId="0" borderId="8" xfId="1" applyFont="1" applyBorder="1" applyAlignment="1">
      <alignment vertical="center"/>
    </xf>
    <xf numFmtId="43" fontId="4" fillId="3" borderId="6" xfId="1" applyFont="1" applyFill="1" applyBorder="1" applyAlignment="1">
      <alignment horizontal="center" vertical="center"/>
    </xf>
    <xf numFmtId="43" fontId="2" fillId="0" borderId="0" xfId="1" applyFont="1" applyAlignment="1">
      <alignment horizontal="center" vertical="center"/>
    </xf>
    <xf numFmtId="43" fontId="6" fillId="2" borderId="0" xfId="1" applyFont="1" applyFill="1" applyBorder="1" applyAlignment="1">
      <alignment horizontal="center" vertical="center"/>
    </xf>
    <xf numFmtId="43" fontId="3" fillId="0" borderId="0" xfId="1" applyFont="1" applyAlignment="1">
      <alignment vertical="center"/>
    </xf>
    <xf numFmtId="43" fontId="4" fillId="0" borderId="6" xfId="1" applyFont="1" applyBorder="1" applyAlignment="1">
      <alignment horizontal="center" vertical="center"/>
    </xf>
    <xf numFmtId="43" fontId="7" fillId="2" borderId="0" xfId="1" applyFont="1" applyFill="1" applyBorder="1" applyAlignment="1">
      <alignment horizontal="center" vertical="center"/>
    </xf>
    <xf numFmtId="43" fontId="4" fillId="3" borderId="6" xfId="1" applyFont="1" applyFill="1" applyBorder="1" applyAlignment="1">
      <alignment horizontal="center" vertical="center" wrapText="1"/>
    </xf>
    <xf numFmtId="10" fontId="4" fillId="4" borderId="6" xfId="2" applyNumberFormat="1" applyFont="1" applyFill="1" applyBorder="1" applyAlignment="1">
      <alignment horizontal="center" vertical="center" wrapText="1"/>
    </xf>
    <xf numFmtId="10" fontId="4" fillId="3" borderId="6" xfId="1" applyNumberFormat="1" applyFont="1" applyFill="1" applyBorder="1" applyAlignment="1">
      <alignment horizontal="center" vertical="center"/>
    </xf>
    <xf numFmtId="10" fontId="5" fillId="0" borderId="0" xfId="1" applyNumberFormat="1" applyFont="1" applyAlignment="1">
      <alignment horizontal="center" vertical="center"/>
    </xf>
    <xf numFmtId="43" fontId="2" fillId="0" borderId="0" xfId="1" applyFont="1" applyAlignment="1">
      <alignment vertical="center"/>
    </xf>
    <xf numFmtId="43" fontId="6" fillId="2" borderId="0" xfId="1" applyFont="1" applyFill="1" applyBorder="1" applyAlignment="1">
      <alignment vertical="center"/>
    </xf>
    <xf numFmtId="43" fontId="8" fillId="0" borderId="0" xfId="1" applyFont="1" applyAlignment="1">
      <alignment vertical="center"/>
    </xf>
    <xf numFmtId="43" fontId="3" fillId="0" borderId="0" xfId="1" applyFont="1" applyAlignment="1">
      <alignment horizontal="left" vertical="center"/>
    </xf>
    <xf numFmtId="43" fontId="4" fillId="0" borderId="9" xfId="1" applyFont="1" applyBorder="1" applyAlignment="1">
      <alignment vertical="center"/>
    </xf>
    <xf numFmtId="43" fontId="4" fillId="3" borderId="2" xfId="1" applyFont="1" applyFill="1" applyBorder="1" applyAlignment="1">
      <alignment vertical="center"/>
    </xf>
    <xf numFmtId="43" fontId="5" fillId="0" borderId="0" xfId="1" applyFont="1" applyAlignment="1">
      <alignment horizontal="center" vertical="center"/>
    </xf>
    <xf numFmtId="43" fontId="3" fillId="0" borderId="0" xfId="1" applyFont="1" applyAlignment="1">
      <alignment horizontal="center" vertical="center"/>
    </xf>
    <xf numFmtId="43" fontId="4" fillId="0" borderId="5" xfId="1" applyFont="1" applyFill="1" applyBorder="1" applyAlignment="1">
      <alignment horizontal="center" vertical="center"/>
    </xf>
    <xf numFmtId="43" fontId="4" fillId="0" borderId="5" xfId="1" applyFont="1" applyFill="1" applyBorder="1" applyAlignment="1">
      <alignment horizontal="center" vertical="center" wrapText="1"/>
    </xf>
    <xf numFmtId="43" fontId="4" fillId="3" borderId="2" xfId="1" applyFont="1" applyFill="1" applyBorder="1" applyAlignment="1">
      <alignment horizontal="center" vertical="center"/>
    </xf>
    <xf numFmtId="43" fontId="4" fillId="3" borderId="6" xfId="1" applyFont="1" applyFill="1" applyBorder="1" applyAlignment="1">
      <alignment vertical="center"/>
    </xf>
    <xf numFmtId="43" fontId="9" fillId="0" borderId="5" xfId="1" applyFont="1" applyFill="1" applyBorder="1" applyAlignment="1">
      <alignment horizontal="center" vertical="center" wrapText="1"/>
    </xf>
    <xf numFmtId="14" fontId="9" fillId="0" borderId="10" xfId="1" quotePrefix="1" applyNumberFormat="1" applyFont="1" applyFill="1" applyBorder="1" applyAlignment="1">
      <alignment horizontal="center" vertical="center"/>
    </xf>
    <xf numFmtId="43" fontId="4" fillId="2" borderId="8" xfId="1" applyFont="1" applyFill="1" applyBorder="1" applyAlignment="1">
      <alignment vertical="center"/>
    </xf>
    <xf numFmtId="43" fontId="4" fillId="2" borderId="10" xfId="1" applyFont="1" applyFill="1" applyBorder="1" applyAlignment="1">
      <alignment vertical="center"/>
    </xf>
    <xf numFmtId="43" fontId="4" fillId="0" borderId="12" xfId="1" applyFont="1" applyBorder="1" applyAlignment="1">
      <alignment vertical="center"/>
    </xf>
    <xf numFmtId="43" fontId="2" fillId="2" borderId="0" xfId="1" applyFont="1" applyFill="1" applyBorder="1" applyAlignment="1">
      <alignment horizontal="center" vertical="center"/>
    </xf>
    <xf numFmtId="43" fontId="10" fillId="7" borderId="6" xfId="1" applyFont="1" applyFill="1" applyBorder="1" applyAlignment="1">
      <alignment horizontal="left" vertical="center" wrapText="1"/>
    </xf>
    <xf numFmtId="43" fontId="10" fillId="8" borderId="1" xfId="1" applyFont="1" applyFill="1" applyBorder="1" applyAlignment="1">
      <alignment horizontal="center" vertical="center" wrapText="1"/>
    </xf>
    <xf numFmtId="0" fontId="10" fillId="9" borderId="1" xfId="0" applyFont="1" applyFill="1" applyBorder="1" applyAlignment="1">
      <alignment horizontal="center" vertical="center"/>
    </xf>
    <xf numFmtId="43" fontId="10" fillId="7" borderId="1" xfId="1" applyFont="1" applyFill="1" applyBorder="1" applyAlignment="1">
      <alignment horizontal="center" vertical="center" wrapText="1"/>
    </xf>
    <xf numFmtId="14" fontId="6" fillId="7" borderId="1" xfId="1" quotePrefix="1" applyNumberFormat="1" applyFont="1" applyFill="1" applyBorder="1" applyAlignment="1">
      <alignment horizontal="center" vertical="center" wrapText="1"/>
    </xf>
    <xf numFmtId="43" fontId="10" fillId="8" borderId="4" xfId="1" applyFont="1" applyFill="1" applyBorder="1" applyAlignment="1">
      <alignment horizontal="center" vertical="center" wrapText="1"/>
    </xf>
    <xf numFmtId="0" fontId="10" fillId="9" borderId="4" xfId="0" applyFont="1" applyFill="1" applyBorder="1" applyAlignment="1">
      <alignment horizontal="center" vertical="center"/>
    </xf>
    <xf numFmtId="0" fontId="14" fillId="2" borderId="1" xfId="0" applyFont="1" applyFill="1" applyBorder="1" applyAlignment="1">
      <alignment horizontal="center" vertical="center" wrapText="1"/>
    </xf>
    <xf numFmtId="0" fontId="14" fillId="2" borderId="1" xfId="0" quotePrefix="1" applyFont="1" applyFill="1" applyBorder="1" applyAlignment="1">
      <alignment horizontal="center" vertical="center" wrapText="1"/>
    </xf>
    <xf numFmtId="0" fontId="14" fillId="2" borderId="6" xfId="0" applyFont="1" applyFill="1" applyBorder="1" applyAlignment="1">
      <alignment horizontal="center" vertical="center" wrapText="1"/>
    </xf>
    <xf numFmtId="14" fontId="14" fillId="2" borderId="6" xfId="0" quotePrefix="1" applyNumberFormat="1" applyFont="1" applyFill="1" applyBorder="1" applyAlignment="1">
      <alignment horizontal="center" vertical="center" wrapText="1"/>
    </xf>
    <xf numFmtId="0" fontId="14" fillId="2" borderId="6" xfId="0" applyFont="1" applyFill="1" applyBorder="1" applyAlignment="1">
      <alignment horizontal="left" vertical="center"/>
    </xf>
    <xf numFmtId="4" fontId="14" fillId="2" borderId="6" xfId="0" applyNumberFormat="1" applyFont="1" applyFill="1" applyBorder="1" applyAlignment="1">
      <alignment horizontal="center" vertical="center"/>
    </xf>
    <xf numFmtId="43" fontId="14" fillId="2" borderId="6" xfId="1" applyFont="1" applyFill="1" applyBorder="1" applyAlignment="1">
      <alignment horizontal="center" vertical="center" wrapText="1"/>
    </xf>
    <xf numFmtId="3" fontId="14" fillId="2" borderId="6" xfId="1" quotePrefix="1" applyNumberFormat="1" applyFont="1" applyFill="1" applyBorder="1" applyAlignment="1">
      <alignment horizontal="center" vertical="center" wrapText="1"/>
    </xf>
    <xf numFmtId="14" fontId="14" fillId="2" borderId="5" xfId="1" quotePrefix="1" applyNumberFormat="1" applyFont="1" applyFill="1" applyBorder="1" applyAlignment="1">
      <alignment horizontal="center" vertical="center" wrapText="1"/>
    </xf>
    <xf numFmtId="164" fontId="14" fillId="2" borderId="6" xfId="1" applyNumberFormat="1" applyFont="1" applyFill="1" applyBorder="1" applyAlignment="1">
      <alignment horizontal="center" vertical="center" wrapText="1"/>
    </xf>
    <xf numFmtId="43" fontId="14" fillId="2" borderId="6" xfId="1" applyFont="1" applyFill="1" applyBorder="1" applyAlignment="1">
      <alignment horizontal="center" vertical="center"/>
    </xf>
    <xf numFmtId="16" fontId="14" fillId="2" borderId="5" xfId="0" applyNumberFormat="1" applyFont="1" applyFill="1" applyBorder="1" applyAlignment="1">
      <alignment horizontal="center" vertical="center" wrapText="1"/>
    </xf>
    <xf numFmtId="16" fontId="14" fillId="2" borderId="6" xfId="0" quotePrefix="1" applyNumberFormat="1" applyFont="1" applyFill="1" applyBorder="1" applyAlignment="1">
      <alignment horizontal="center" vertical="center" wrapText="1"/>
    </xf>
    <xf numFmtId="16" fontId="14" fillId="2" borderId="6" xfId="0" applyNumberFormat="1" applyFont="1" applyFill="1" applyBorder="1" applyAlignment="1">
      <alignment horizontal="center" vertical="center" wrapText="1"/>
    </xf>
    <xf numFmtId="16" fontId="14" fillId="2" borderId="6" xfId="0" applyNumberFormat="1" applyFont="1" applyFill="1" applyBorder="1" applyAlignment="1">
      <alignment horizontal="center" vertical="center"/>
    </xf>
    <xf numFmtId="0" fontId="14" fillId="2" borderId="6" xfId="0" quotePrefix="1" applyFont="1" applyFill="1" applyBorder="1" applyAlignment="1">
      <alignment horizontal="center" vertical="center" wrapText="1"/>
    </xf>
    <xf numFmtId="0" fontId="14" fillId="2" borderId="6" xfId="0" applyFont="1" applyFill="1" applyBorder="1" applyAlignment="1">
      <alignment vertical="center" wrapText="1"/>
    </xf>
    <xf numFmtId="0" fontId="2" fillId="2" borderId="6" xfId="0" quotePrefix="1" applyFont="1" applyFill="1" applyBorder="1" applyAlignment="1">
      <alignment vertical="center" wrapText="1"/>
    </xf>
    <xf numFmtId="0" fontId="15" fillId="2" borderId="6" xfId="0" applyFont="1" applyFill="1" applyBorder="1" applyAlignment="1">
      <alignment vertical="center"/>
    </xf>
    <xf numFmtId="43" fontId="15" fillId="2" borderId="6" xfId="1" applyFont="1" applyFill="1" applyBorder="1" applyAlignment="1">
      <alignment horizontal="center" vertical="center"/>
    </xf>
    <xf numFmtId="0" fontId="2" fillId="2" borderId="6" xfId="0" applyFont="1" applyFill="1" applyBorder="1" applyAlignment="1">
      <alignment vertical="center" wrapText="1"/>
    </xf>
    <xf numFmtId="14" fontId="2" fillId="2" borderId="6" xfId="0" quotePrefix="1" applyNumberFormat="1" applyFont="1" applyFill="1" applyBorder="1" applyAlignment="1">
      <alignment horizontal="center" vertical="center" wrapText="1"/>
    </xf>
    <xf numFmtId="0" fontId="2" fillId="2" borderId="6" xfId="0" applyFont="1" applyFill="1" applyBorder="1" applyAlignment="1">
      <alignment horizontal="left" vertical="center"/>
    </xf>
    <xf numFmtId="4" fontId="2" fillId="2" borderId="6" xfId="0" applyNumberFormat="1" applyFont="1" applyFill="1" applyBorder="1" applyAlignment="1">
      <alignment vertical="center"/>
    </xf>
    <xf numFmtId="43" fontId="2" fillId="2" borderId="6" xfId="1" applyFont="1" applyFill="1" applyBorder="1" applyAlignment="1">
      <alignment vertical="center" wrapText="1"/>
    </xf>
    <xf numFmtId="43" fontId="2" fillId="2" borderId="6" xfId="1" applyFont="1" applyFill="1" applyBorder="1" applyAlignment="1">
      <alignment horizontal="center" vertical="center" wrapText="1"/>
    </xf>
    <xf numFmtId="164" fontId="2" fillId="2" borderId="6" xfId="1" applyNumberFormat="1" applyFont="1" applyFill="1" applyBorder="1" applyAlignment="1">
      <alignment horizontal="center" vertical="center" wrapText="1"/>
    </xf>
    <xf numFmtId="43" fontId="2" fillId="2" borderId="6" xfId="1" applyFont="1" applyFill="1" applyBorder="1" applyAlignment="1">
      <alignment horizontal="center" vertical="center"/>
    </xf>
    <xf numFmtId="16" fontId="2" fillId="2" borderId="6" xfId="0" applyNumberFormat="1" applyFont="1" applyFill="1" applyBorder="1" applyAlignment="1">
      <alignment horizontal="center" vertical="center" wrapText="1"/>
    </xf>
    <xf numFmtId="16" fontId="2" fillId="2" borderId="6" xfId="0" applyNumberFormat="1" applyFont="1" applyFill="1" applyBorder="1" applyAlignment="1">
      <alignment horizontal="center" vertical="center"/>
    </xf>
    <xf numFmtId="4" fontId="14" fillId="2" borderId="6" xfId="0" applyNumberFormat="1" applyFont="1" applyFill="1" applyBorder="1" applyAlignment="1">
      <alignment vertical="center"/>
    </xf>
    <xf numFmtId="43" fontId="14" fillId="2" borderId="6" xfId="1" applyFont="1" applyFill="1" applyBorder="1" applyAlignment="1">
      <alignment vertical="center" wrapText="1"/>
    </xf>
    <xf numFmtId="3" fontId="14" fillId="2" borderId="6" xfId="1" applyNumberFormat="1" applyFont="1" applyFill="1" applyBorder="1" applyAlignment="1">
      <alignment horizontal="center" vertical="center" wrapText="1"/>
    </xf>
    <xf numFmtId="14" fontId="14" fillId="2" borderId="6" xfId="1" quotePrefix="1" applyNumberFormat="1" applyFont="1" applyFill="1" applyBorder="1" applyAlignment="1">
      <alignment horizontal="center" vertical="center" wrapText="1"/>
    </xf>
    <xf numFmtId="16" fontId="14" fillId="2" borderId="1" xfId="0" quotePrefix="1" applyNumberFormat="1" applyFont="1" applyFill="1" applyBorder="1" applyAlignment="1">
      <alignment horizontal="center" vertical="center" wrapText="1"/>
    </xf>
    <xf numFmtId="0" fontId="15" fillId="2" borderId="6" xfId="0" applyFont="1" applyFill="1" applyBorder="1"/>
    <xf numFmtId="0" fontId="2" fillId="2" borderId="6" xfId="0" applyFont="1" applyFill="1" applyBorder="1" applyAlignment="1">
      <alignment horizontal="center" vertical="center" wrapText="1"/>
    </xf>
    <xf numFmtId="0" fontId="2" fillId="2" borderId="6" xfId="0" quotePrefix="1" applyFont="1" applyFill="1" applyBorder="1" applyAlignment="1">
      <alignment horizontal="center" vertical="center" wrapText="1"/>
    </xf>
    <xf numFmtId="43" fontId="2" fillId="2" borderId="6" xfId="1" applyFont="1" applyFill="1" applyBorder="1" applyAlignment="1">
      <alignment horizontal="right" vertical="center" wrapText="1"/>
    </xf>
    <xf numFmtId="3" fontId="2" fillId="2" borderId="6" xfId="1" applyNumberFormat="1" applyFont="1" applyFill="1" applyBorder="1" applyAlignment="1">
      <alignment horizontal="center" vertical="center" wrapText="1"/>
    </xf>
    <xf numFmtId="14" fontId="13" fillId="2" borderId="6" xfId="1" quotePrefix="1" applyNumberFormat="1" applyFont="1" applyFill="1" applyBorder="1" applyAlignment="1">
      <alignment horizontal="center" vertical="center" wrapText="1"/>
    </xf>
    <xf numFmtId="16" fontId="2" fillId="2" borderId="6" xfId="0" quotePrefix="1" applyNumberFormat="1" applyFont="1" applyFill="1" applyBorder="1" applyAlignment="1">
      <alignment horizontal="center" vertical="center" wrapText="1"/>
    </xf>
    <xf numFmtId="0" fontId="0" fillId="0" borderId="0" xfId="0" applyAlignment="1">
      <alignment wrapText="1"/>
    </xf>
    <xf numFmtId="0" fontId="0" fillId="0" borderId="0" xfId="0" applyAlignment="1">
      <alignment vertical="top" wrapText="1"/>
    </xf>
    <xf numFmtId="0" fontId="0" fillId="0" borderId="0" xfId="0" applyAlignment="1">
      <alignment horizontal="center" vertical="top" wrapText="1"/>
    </xf>
    <xf numFmtId="0" fontId="10" fillId="9" borderId="0" xfId="0" applyFont="1" applyFill="1" applyAlignment="1">
      <alignment vertical="center" wrapText="1"/>
    </xf>
    <xf numFmtId="0" fontId="10" fillId="9" borderId="0" xfId="0" applyFont="1" applyFill="1" applyAlignment="1">
      <alignment vertical="center"/>
    </xf>
    <xf numFmtId="0" fontId="2" fillId="2" borderId="0" xfId="0" applyFont="1" applyFill="1" applyAlignment="1">
      <alignment vertical="center" wrapText="1"/>
    </xf>
    <xf numFmtId="11" fontId="16" fillId="2" borderId="0" xfId="0" quotePrefix="1" applyNumberFormat="1" applyFont="1" applyFill="1" applyAlignment="1">
      <alignment horizontal="center" vertical="center" wrapText="1"/>
    </xf>
    <xf numFmtId="43" fontId="0" fillId="0" borderId="0" xfId="1" applyFont="1"/>
    <xf numFmtId="165" fontId="0" fillId="0" borderId="0" xfId="1" applyNumberFormat="1" applyFont="1"/>
    <xf numFmtId="0" fontId="0" fillId="11" borderId="0" xfId="0" applyFill="1"/>
    <xf numFmtId="0" fontId="0" fillId="11" borderId="6" xfId="0" applyFill="1" applyBorder="1"/>
    <xf numFmtId="0" fontId="15" fillId="11" borderId="6" xfId="0" applyFont="1" applyFill="1" applyBorder="1"/>
    <xf numFmtId="43" fontId="0" fillId="11" borderId="6" xfId="1" applyFont="1" applyFill="1" applyBorder="1"/>
    <xf numFmtId="43" fontId="15" fillId="11" borderId="6" xfId="1" applyFont="1" applyFill="1" applyBorder="1"/>
    <xf numFmtId="43" fontId="5" fillId="0" borderId="3" xfId="1" applyFont="1" applyBorder="1" applyAlignment="1">
      <alignment horizontal="center" vertical="center"/>
    </xf>
    <xf numFmtId="43" fontId="4" fillId="0" borderId="10" xfId="1" applyFont="1" applyFill="1" applyBorder="1" applyAlignment="1">
      <alignment horizontal="center" vertical="center" wrapText="1"/>
    </xf>
    <xf numFmtId="43" fontId="2" fillId="0" borderId="3" xfId="1" applyFont="1" applyBorder="1" applyAlignment="1">
      <alignment horizontal="center" vertical="center"/>
    </xf>
    <xf numFmtId="43" fontId="3" fillId="0" borderId="3" xfId="1" applyFont="1" applyBorder="1" applyAlignment="1">
      <alignment horizontal="center" vertical="center"/>
    </xf>
    <xf numFmtId="0" fontId="15" fillId="11" borderId="3" xfId="0" applyFont="1" applyFill="1" applyBorder="1"/>
    <xf numFmtId="43" fontId="2" fillId="2" borderId="3" xfId="1" applyFont="1" applyFill="1" applyBorder="1" applyAlignment="1">
      <alignment horizontal="center" vertical="center"/>
    </xf>
    <xf numFmtId="43" fontId="5" fillId="12" borderId="6" xfId="1" applyFont="1" applyFill="1" applyBorder="1" applyAlignment="1">
      <alignment horizontal="center" vertical="center"/>
    </xf>
    <xf numFmtId="43" fontId="5" fillId="12" borderId="6" xfId="1" applyFont="1" applyFill="1" applyBorder="1" applyAlignment="1">
      <alignment vertical="center"/>
    </xf>
    <xf numFmtId="0" fontId="0" fillId="0" borderId="6" xfId="0" applyBorder="1"/>
    <xf numFmtId="0" fontId="0" fillId="0" borderId="6" xfId="0" applyBorder="1" applyAlignment="1">
      <alignment horizontal="center" vertical="top" wrapText="1"/>
    </xf>
    <xf numFmtId="43" fontId="4" fillId="2" borderId="0" xfId="1" applyFont="1" applyFill="1" applyBorder="1" applyAlignment="1">
      <alignment vertical="center"/>
    </xf>
    <xf numFmtId="43" fontId="4" fillId="2" borderId="6" xfId="1" applyFont="1" applyFill="1" applyBorder="1" applyAlignment="1">
      <alignment horizontal="center" vertical="center"/>
    </xf>
    <xf numFmtId="0" fontId="0" fillId="0" borderId="6" xfId="0" applyBorder="1" applyAlignment="1">
      <alignment horizontal="center" vertical="center" wrapText="1"/>
    </xf>
    <xf numFmtId="0" fontId="0" fillId="13" borderId="0" xfId="0" applyFill="1"/>
    <xf numFmtId="0" fontId="0" fillId="14" borderId="0" xfId="0" applyFill="1"/>
    <xf numFmtId="0" fontId="0" fillId="3" borderId="0" xfId="0" applyFill="1"/>
    <xf numFmtId="0" fontId="0" fillId="3" borderId="6" xfId="0" applyFill="1" applyBorder="1"/>
    <xf numFmtId="14" fontId="17" fillId="15" borderId="6" xfId="0" applyNumberFormat="1" applyFont="1" applyFill="1" applyBorder="1" applyAlignment="1">
      <alignment horizontal="center" vertical="center" wrapText="1"/>
    </xf>
    <xf numFmtId="0" fontId="17" fillId="15" borderId="6" xfId="0" applyFont="1" applyFill="1" applyBorder="1" applyAlignment="1">
      <alignment horizontal="center" vertical="center" wrapText="1"/>
    </xf>
    <xf numFmtId="0" fontId="18" fillId="0" borderId="15" xfId="0" applyFont="1" applyBorder="1" applyAlignment="1">
      <alignment horizontal="center"/>
    </xf>
    <xf numFmtId="0" fontId="19" fillId="0" borderId="15" xfId="0" applyFont="1" applyBorder="1" applyAlignment="1">
      <alignment horizontal="center"/>
    </xf>
    <xf numFmtId="14" fontId="18" fillId="0" borderId="15" xfId="0" applyNumberFormat="1" applyFont="1" applyBorder="1" applyAlignment="1">
      <alignment horizontal="center"/>
    </xf>
    <xf numFmtId="0" fontId="18" fillId="0" borderId="15" xfId="0" applyFont="1" applyBorder="1" applyAlignment="1">
      <alignment horizontal="center" wrapText="1"/>
    </xf>
    <xf numFmtId="0" fontId="19" fillId="2" borderId="15" xfId="0" applyFont="1" applyFill="1" applyBorder="1"/>
    <xf numFmtId="0" fontId="18" fillId="0" borderId="15" xfId="0" applyFont="1" applyBorder="1"/>
    <xf numFmtId="43" fontId="18" fillId="0" borderId="15" xfId="1" applyFont="1" applyBorder="1"/>
    <xf numFmtId="43" fontId="19" fillId="0" borderId="15" xfId="1" applyFont="1" applyBorder="1"/>
    <xf numFmtId="17" fontId="18" fillId="0" borderId="15" xfId="0" quotePrefix="1" applyNumberFormat="1" applyFont="1" applyBorder="1" applyAlignment="1">
      <alignment horizontal="center"/>
    </xf>
    <xf numFmtId="0" fontId="18" fillId="2" borderId="15" xfId="0" applyFont="1" applyFill="1" applyBorder="1"/>
    <xf numFmtId="14" fontId="18" fillId="0" borderId="15" xfId="0" quotePrefix="1" applyNumberFormat="1" applyFont="1" applyBorder="1" applyAlignment="1">
      <alignment horizontal="center"/>
    </xf>
    <xf numFmtId="14" fontId="13" fillId="3" borderId="16" xfId="0" applyNumberFormat="1" applyFont="1" applyFill="1" applyBorder="1" applyAlignment="1">
      <alignment horizontal="center"/>
    </xf>
    <xf numFmtId="17" fontId="18" fillId="0" borderId="17" xfId="0" quotePrefix="1" applyNumberFormat="1" applyFont="1" applyBorder="1" applyAlignment="1">
      <alignment horizontal="center"/>
    </xf>
    <xf numFmtId="0" fontId="21" fillId="0" borderId="0" xfId="0" applyFont="1" applyAlignment="1">
      <alignment vertical="top" wrapText="1"/>
    </xf>
    <xf numFmtId="0" fontId="22" fillId="2" borderId="0" xfId="0" applyFont="1" applyFill="1" applyAlignment="1">
      <alignment vertical="top" wrapText="1"/>
    </xf>
    <xf numFmtId="0" fontId="22" fillId="0" borderId="0" xfId="0" applyFont="1" applyAlignment="1">
      <alignment vertical="top" wrapText="1"/>
    </xf>
    <xf numFmtId="0" fontId="22" fillId="0" borderId="0" xfId="0" applyFont="1" applyAlignment="1">
      <alignment horizontal="center" vertical="top" wrapText="1"/>
    </xf>
    <xf numFmtId="0" fontId="21" fillId="0" borderId="0" xfId="0" applyFont="1" applyAlignment="1">
      <alignment horizontal="center" vertical="top" wrapText="1"/>
    </xf>
    <xf numFmtId="0" fontId="23" fillId="0" borderId="7" xfId="0" applyFont="1" applyBorder="1" applyAlignment="1">
      <alignment horizontal="centerContinuous"/>
    </xf>
    <xf numFmtId="0" fontId="23" fillId="0" borderId="0" xfId="0" applyFont="1" applyAlignment="1">
      <alignment horizontal="centerContinuous"/>
    </xf>
    <xf numFmtId="0" fontId="0" fillId="0" borderId="0" xfId="0" applyAlignment="1">
      <alignment horizontal="centerContinuous"/>
    </xf>
    <xf numFmtId="0" fontId="20" fillId="15" borderId="6" xfId="0" applyFont="1" applyFill="1" applyBorder="1" applyAlignment="1">
      <alignment horizontal="center" vertical="center" wrapText="1"/>
    </xf>
    <xf numFmtId="14" fontId="20" fillId="15" borderId="6" xfId="0" applyNumberFormat="1" applyFont="1" applyFill="1" applyBorder="1" applyAlignment="1">
      <alignment horizontal="center" vertical="center" wrapText="1"/>
    </xf>
    <xf numFmtId="4" fontId="18" fillId="0" borderId="15" xfId="0" applyNumberFormat="1" applyFont="1" applyBorder="1" applyAlignment="1">
      <alignment horizontal="right"/>
    </xf>
    <xf numFmtId="14" fontId="19" fillId="0" borderId="15" xfId="1" applyNumberFormat="1" applyFont="1" applyBorder="1"/>
    <xf numFmtId="43" fontId="19" fillId="0" borderId="15" xfId="1" applyFont="1" applyBorder="1" applyAlignment="1">
      <alignment horizontal="center"/>
    </xf>
    <xf numFmtId="9" fontId="18" fillId="0" borderId="15" xfId="0" applyNumberFormat="1" applyFont="1" applyBorder="1" applyAlignment="1">
      <alignment horizontal="left"/>
    </xf>
    <xf numFmtId="43" fontId="0" fillId="0" borderId="0" xfId="0" applyNumberFormat="1"/>
    <xf numFmtId="14" fontId="19" fillId="0" borderId="15" xfId="1" applyNumberFormat="1" applyFont="1" applyBorder="1" applyAlignment="1">
      <alignment horizontal="center"/>
    </xf>
    <xf numFmtId="43" fontId="19" fillId="3" borderId="15" xfId="1" applyFont="1" applyFill="1" applyBorder="1"/>
    <xf numFmtId="0" fontId="0" fillId="0" borderId="0" xfId="0" applyAlignment="1">
      <alignment horizontal="center"/>
    </xf>
    <xf numFmtId="0" fontId="0" fillId="0" borderId="0" xfId="0" applyAlignment="1">
      <alignment horizontal="left"/>
    </xf>
    <xf numFmtId="0" fontId="0" fillId="0" borderId="0" xfId="0" applyAlignment="1">
      <alignment horizontal="right"/>
    </xf>
    <xf numFmtId="14" fontId="0" fillId="0" borderId="0" xfId="0" applyNumberFormat="1"/>
    <xf numFmtId="0" fontId="15" fillId="3" borderId="6" xfId="0" applyFont="1" applyFill="1" applyBorder="1"/>
    <xf numFmtId="43" fontId="15" fillId="3" borderId="6" xfId="1" applyFont="1" applyFill="1" applyBorder="1" applyAlignment="1">
      <alignment horizontal="center"/>
    </xf>
    <xf numFmtId="0" fontId="15" fillId="3" borderId="6" xfId="0" applyFont="1" applyFill="1" applyBorder="1" applyAlignment="1">
      <alignment horizontal="center"/>
    </xf>
    <xf numFmtId="43" fontId="0" fillId="0" borderId="0" xfId="1" applyFont="1" applyAlignment="1">
      <alignment horizontal="right"/>
    </xf>
    <xf numFmtId="43" fontId="0" fillId="0" borderId="6" xfId="1" applyFont="1" applyBorder="1"/>
    <xf numFmtId="14" fontId="0" fillId="0" borderId="6" xfId="0" applyNumberFormat="1" applyBorder="1"/>
    <xf numFmtId="0" fontId="0" fillId="0" borderId="0" xfId="0" applyAlignment="1">
      <alignment vertical="center"/>
    </xf>
    <xf numFmtId="43" fontId="0" fillId="0" borderId="0" xfId="1" applyFont="1" applyAlignment="1">
      <alignment vertical="center"/>
    </xf>
    <xf numFmtId="14" fontId="0" fillId="0" borderId="0" xfId="0" applyNumberFormat="1" applyAlignment="1">
      <alignment vertical="center"/>
    </xf>
    <xf numFmtId="9" fontId="0" fillId="0" borderId="0" xfId="0" applyNumberFormat="1"/>
    <xf numFmtId="0" fontId="0" fillId="0" borderId="6" xfId="0" applyBorder="1" applyAlignment="1">
      <alignment vertical="center"/>
    </xf>
    <xf numFmtId="43" fontId="0" fillId="0" borderId="6" xfId="1" applyFont="1" applyBorder="1" applyAlignment="1">
      <alignment vertical="center"/>
    </xf>
    <xf numFmtId="14" fontId="0" fillId="0" borderId="6" xfId="0" applyNumberFormat="1" applyBorder="1" applyAlignment="1">
      <alignment vertical="center"/>
    </xf>
    <xf numFmtId="0" fontId="0" fillId="0" borderId="6" xfId="0" applyBorder="1" applyAlignment="1">
      <alignment vertical="top" wrapText="1"/>
    </xf>
    <xf numFmtId="0" fontId="0" fillId="16" borderId="0" xfId="0" applyFill="1"/>
    <xf numFmtId="3" fontId="0" fillId="0" borderId="0" xfId="0" applyNumberFormat="1"/>
    <xf numFmtId="165" fontId="0" fillId="3" borderId="0" xfId="1" applyNumberFormat="1" applyFont="1" applyFill="1"/>
    <xf numFmtId="0" fontId="15" fillId="3" borderId="4" xfId="0" applyFont="1" applyFill="1" applyBorder="1" applyAlignment="1">
      <alignment horizontal="center"/>
    </xf>
    <xf numFmtId="0" fontId="21" fillId="0" borderId="0" xfId="0" applyFont="1"/>
    <xf numFmtId="0" fontId="15" fillId="13" borderId="0" xfId="0" applyFont="1" applyFill="1"/>
    <xf numFmtId="0" fontId="15" fillId="14" borderId="0" xfId="0" applyFont="1" applyFill="1"/>
    <xf numFmtId="0" fontId="15" fillId="13" borderId="13" xfId="0" applyFont="1" applyFill="1" applyBorder="1"/>
    <xf numFmtId="0" fontId="0" fillId="13" borderId="18" xfId="0" applyFill="1" applyBorder="1"/>
    <xf numFmtId="0" fontId="0" fillId="13" borderId="9" xfId="0" applyFill="1" applyBorder="1"/>
    <xf numFmtId="0" fontId="15" fillId="13" borderId="3" xfId="0" applyFont="1" applyFill="1" applyBorder="1"/>
    <xf numFmtId="0" fontId="0" fillId="13" borderId="14" xfId="0" applyFill="1" applyBorder="1"/>
    <xf numFmtId="0" fontId="15" fillId="13" borderId="10" xfId="0" applyFont="1" applyFill="1" applyBorder="1"/>
    <xf numFmtId="0" fontId="0" fillId="13" borderId="7" xfId="0" applyFill="1" applyBorder="1"/>
    <xf numFmtId="0" fontId="0" fillId="13" borderId="12" xfId="0" applyFill="1" applyBorder="1"/>
    <xf numFmtId="0" fontId="15" fillId="14" borderId="13" xfId="0" applyFont="1" applyFill="1" applyBorder="1"/>
    <xf numFmtId="0" fontId="0" fillId="14" borderId="18" xfId="0" applyFill="1" applyBorder="1"/>
    <xf numFmtId="0" fontId="0" fillId="14" borderId="9" xfId="0" applyFill="1" applyBorder="1"/>
    <xf numFmtId="0" fontId="0" fillId="14" borderId="3" xfId="0" applyFill="1" applyBorder="1"/>
    <xf numFmtId="0" fontId="0" fillId="14" borderId="14" xfId="0" applyFill="1" applyBorder="1"/>
    <xf numFmtId="0" fontId="0" fillId="14" borderId="10" xfId="0" applyFill="1" applyBorder="1"/>
    <xf numFmtId="0" fontId="0" fillId="14" borderId="7" xfId="0" applyFill="1" applyBorder="1"/>
    <xf numFmtId="0" fontId="0" fillId="14" borderId="12" xfId="0" applyFill="1" applyBorder="1"/>
    <xf numFmtId="10" fontId="0" fillId="0" borderId="0" xfId="2" applyNumberFormat="1" applyFont="1"/>
    <xf numFmtId="0" fontId="0" fillId="0" borderId="7" xfId="0" applyBorder="1"/>
    <xf numFmtId="43" fontId="0" fillId="0" borderId="7" xfId="1" applyFont="1" applyBorder="1"/>
    <xf numFmtId="166" fontId="0" fillId="0" borderId="0" xfId="1" applyNumberFormat="1" applyFont="1"/>
    <xf numFmtId="43" fontId="21" fillId="0" borderId="0" xfId="0" applyNumberFormat="1" applyFont="1"/>
    <xf numFmtId="43" fontId="0" fillId="0" borderId="7" xfId="0" applyNumberFormat="1" applyBorder="1"/>
    <xf numFmtId="166" fontId="24" fillId="0" borderId="0" xfId="1" applyNumberFormat="1" applyFont="1"/>
    <xf numFmtId="43" fontId="24" fillId="0" borderId="0" xfId="0" applyNumberFormat="1" applyFont="1"/>
    <xf numFmtId="165" fontId="0" fillId="3" borderId="0" xfId="0" applyNumberFormat="1" applyFill="1"/>
    <xf numFmtId="0" fontId="15" fillId="0" borderId="0" xfId="0" applyFont="1"/>
    <xf numFmtId="0" fontId="0" fillId="12" borderId="0" xfId="0" applyFill="1"/>
    <xf numFmtId="0" fontId="0" fillId="0" borderId="13" xfId="0" applyBorder="1"/>
    <xf numFmtId="0" fontId="0" fillId="0" borderId="18" xfId="0" applyBorder="1"/>
    <xf numFmtId="43" fontId="0" fillId="0" borderId="18" xfId="1" applyFont="1" applyBorder="1"/>
    <xf numFmtId="0" fontId="0" fillId="0" borderId="9" xfId="0" applyBorder="1"/>
    <xf numFmtId="0" fontId="0" fillId="0" borderId="10" xfId="0" applyBorder="1"/>
    <xf numFmtId="0" fontId="0" fillId="0" borderId="12" xfId="0" applyBorder="1"/>
    <xf numFmtId="0" fontId="0" fillId="0" borderId="2" xfId="0" applyBorder="1"/>
    <xf numFmtId="0" fontId="0" fillId="0" borderId="11" xfId="0" applyBorder="1"/>
    <xf numFmtId="43" fontId="0" fillId="0" borderId="11" xfId="1" applyFont="1" applyBorder="1"/>
    <xf numFmtId="0" fontId="0" fillId="0" borderId="8" xfId="0" applyBorder="1"/>
    <xf numFmtId="165" fontId="0" fillId="0" borderId="6" xfId="1" applyNumberFormat="1" applyFont="1" applyBorder="1"/>
    <xf numFmtId="0" fontId="0" fillId="0" borderId="6" xfId="0" applyBorder="1" applyAlignment="1">
      <alignment vertical="center" wrapText="1"/>
    </xf>
    <xf numFmtId="43" fontId="0" fillId="0" borderId="6" xfId="0" applyNumberFormat="1" applyBorder="1"/>
    <xf numFmtId="0" fontId="21" fillId="0" borderId="18" xfId="0" applyFont="1" applyBorder="1" applyAlignment="1">
      <alignment horizontal="left" vertical="top" wrapText="1"/>
    </xf>
    <xf numFmtId="0" fontId="21" fillId="0" borderId="0" xfId="0" applyFont="1" applyAlignment="1">
      <alignment horizontal="left" vertical="top" wrapText="1"/>
    </xf>
    <xf numFmtId="43" fontId="4" fillId="0" borderId="2" xfId="1" applyFont="1" applyBorder="1" applyAlignment="1">
      <alignment horizontal="left" vertical="center" wrapText="1"/>
    </xf>
    <xf numFmtId="43" fontId="4" fillId="0" borderId="8" xfId="1" applyFont="1" applyBorder="1" applyAlignment="1">
      <alignment horizontal="left" vertical="center"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43" fontId="4" fillId="3" borderId="2" xfId="1" applyFont="1" applyFill="1" applyBorder="1" applyAlignment="1">
      <alignment horizontal="center" vertical="center" wrapText="1"/>
    </xf>
    <xf numFmtId="43" fontId="4" fillId="3" borderId="8" xfId="1" applyFont="1" applyFill="1" applyBorder="1" applyAlignment="1">
      <alignment horizontal="center" vertical="center" wrapText="1"/>
    </xf>
    <xf numFmtId="43" fontId="4" fillId="0" borderId="1" xfId="1" applyFont="1" applyBorder="1" applyAlignment="1">
      <alignment horizontal="center" vertical="center" wrapText="1"/>
    </xf>
    <xf numFmtId="43" fontId="4" fillId="0" borderId="4" xfId="1" applyFont="1" applyBorder="1" applyAlignment="1">
      <alignment horizontal="center" vertical="center" wrapText="1"/>
    </xf>
    <xf numFmtId="43" fontId="4" fillId="2" borderId="2" xfId="1" applyFont="1" applyFill="1" applyBorder="1" applyAlignment="1">
      <alignment horizontal="center" vertical="center"/>
    </xf>
    <xf numFmtId="43" fontId="4" fillId="2" borderId="8" xfId="1" applyFont="1" applyFill="1" applyBorder="1" applyAlignment="1">
      <alignment horizontal="center" vertical="center"/>
    </xf>
    <xf numFmtId="43" fontId="4" fillId="0" borderId="5" xfId="1" applyFont="1" applyBorder="1" applyAlignment="1">
      <alignment horizontal="center" vertical="center" wrapText="1"/>
    </xf>
    <xf numFmtId="43" fontId="4" fillId="0" borderId="6" xfId="1" applyFont="1" applyBorder="1" applyAlignment="1">
      <alignment horizontal="center" vertical="center" wrapText="1"/>
    </xf>
    <xf numFmtId="11" fontId="16" fillId="2" borderId="1" xfId="0" quotePrefix="1" applyNumberFormat="1" applyFont="1" applyFill="1" applyBorder="1" applyAlignment="1">
      <alignment horizontal="center" vertical="center" wrapText="1"/>
    </xf>
    <xf numFmtId="11" fontId="16" fillId="2" borderId="5" xfId="0" quotePrefix="1" applyNumberFormat="1" applyFont="1" applyFill="1" applyBorder="1" applyAlignment="1">
      <alignment horizontal="center" vertical="center" wrapText="1"/>
    </xf>
    <xf numFmtId="0" fontId="21" fillId="0" borderId="0" xfId="0" applyFont="1" applyAlignment="1">
      <alignment horizontal="center" vertical="top" wrapText="1"/>
    </xf>
    <xf numFmtId="0" fontId="15" fillId="3" borderId="2" xfId="0" applyFont="1" applyFill="1" applyBorder="1" applyAlignment="1">
      <alignment horizontal="center" vertical="center"/>
    </xf>
    <xf numFmtId="0" fontId="15" fillId="3" borderId="11" xfId="0" applyFont="1" applyFill="1" applyBorder="1" applyAlignment="1">
      <alignment horizontal="center" vertical="center"/>
    </xf>
    <xf numFmtId="0" fontId="15" fillId="3" borderId="8" xfId="0" applyFont="1" applyFill="1" applyBorder="1" applyAlignment="1">
      <alignment horizontal="center" vertical="center"/>
    </xf>
    <xf numFmtId="0" fontId="2" fillId="2" borderId="1" xfId="0" quotePrefix="1" applyFont="1" applyFill="1" applyBorder="1" applyAlignment="1">
      <alignment horizontal="center" vertical="center" wrapText="1"/>
    </xf>
    <xf numFmtId="0" fontId="2" fillId="2" borderId="5" xfId="0" quotePrefix="1"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2" borderId="5" xfId="0" applyFont="1" applyFill="1" applyBorder="1" applyAlignment="1">
      <alignment horizontal="center" vertical="center" wrapText="1"/>
    </xf>
    <xf numFmtId="1" fontId="16" fillId="2" borderId="1" xfId="0" quotePrefix="1" applyNumberFormat="1" applyFont="1" applyFill="1" applyBorder="1" applyAlignment="1">
      <alignment horizontal="center" vertical="center" wrapText="1"/>
    </xf>
    <xf numFmtId="1" fontId="16" fillId="2" borderId="5" xfId="0" quotePrefix="1" applyNumberFormat="1" applyFont="1" applyFill="1" applyBorder="1" applyAlignment="1">
      <alignment horizontal="center" vertical="center" wrapText="1"/>
    </xf>
    <xf numFmtId="43" fontId="16" fillId="2" borderId="1" xfId="1" quotePrefix="1" applyFont="1" applyFill="1" applyBorder="1" applyAlignment="1">
      <alignment horizontal="center" vertical="center" wrapText="1"/>
    </xf>
    <xf numFmtId="43" fontId="16" fillId="2" borderId="5" xfId="1" quotePrefix="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14" fontId="2" fillId="2" borderId="1" xfId="0" quotePrefix="1" applyNumberFormat="1" applyFont="1" applyFill="1" applyBorder="1" applyAlignment="1">
      <alignment horizontal="center" vertical="center" wrapText="1"/>
    </xf>
    <xf numFmtId="14" fontId="2" fillId="2" borderId="5" xfId="0" quotePrefix="1" applyNumberFormat="1" applyFont="1" applyFill="1" applyBorder="1" applyAlignment="1">
      <alignment horizontal="center" vertical="center" wrapText="1"/>
    </xf>
    <xf numFmtId="3" fontId="2" fillId="2" borderId="1" xfId="1" applyNumberFormat="1" applyFont="1" applyFill="1" applyBorder="1" applyAlignment="1">
      <alignment horizontal="center" vertical="center" wrapText="1"/>
    </xf>
    <xf numFmtId="3" fontId="2" fillId="2" borderId="5" xfId="1" applyNumberFormat="1" applyFont="1" applyFill="1" applyBorder="1" applyAlignment="1">
      <alignment horizontal="center" vertical="center" wrapText="1"/>
    </xf>
    <xf numFmtId="14" fontId="2" fillId="2" borderId="1" xfId="1" quotePrefix="1" applyNumberFormat="1" applyFont="1" applyFill="1" applyBorder="1" applyAlignment="1">
      <alignment horizontal="center" vertical="center" wrapText="1"/>
    </xf>
    <xf numFmtId="14" fontId="2" fillId="2" borderId="5" xfId="1" quotePrefix="1" applyNumberFormat="1" applyFont="1" applyFill="1" applyBorder="1" applyAlignment="1">
      <alignment horizontal="center" vertical="center" wrapText="1"/>
    </xf>
    <xf numFmtId="16" fontId="2" fillId="2" borderId="1" xfId="0" applyNumberFormat="1" applyFont="1" applyFill="1" applyBorder="1" applyAlignment="1">
      <alignment horizontal="center" vertical="center" wrapText="1"/>
    </xf>
    <xf numFmtId="16" fontId="2" fillId="2" borderId="5" xfId="0" applyNumberFormat="1" applyFont="1" applyFill="1" applyBorder="1" applyAlignment="1">
      <alignment horizontal="center" vertical="center" wrapText="1"/>
    </xf>
    <xf numFmtId="16" fontId="2" fillId="2" borderId="1" xfId="0" quotePrefix="1" applyNumberFormat="1" applyFont="1" applyFill="1" applyBorder="1" applyAlignment="1">
      <alignment horizontal="center" vertical="center" wrapText="1"/>
    </xf>
    <xf numFmtId="16" fontId="2" fillId="2" borderId="5" xfId="0" quotePrefix="1" applyNumberFormat="1" applyFont="1" applyFill="1" applyBorder="1" applyAlignment="1">
      <alignment horizontal="center" vertical="center" wrapText="1"/>
    </xf>
    <xf numFmtId="43" fontId="14" fillId="2" borderId="1" xfId="1" applyFont="1" applyFill="1" applyBorder="1" applyAlignment="1">
      <alignment horizontal="center" vertical="center" wrapText="1"/>
    </xf>
    <xf numFmtId="43" fontId="14" fillId="2" borderId="4" xfId="1" applyFont="1" applyFill="1" applyBorder="1" applyAlignment="1">
      <alignment horizontal="center" vertical="center" wrapText="1"/>
    </xf>
    <xf numFmtId="43" fontId="14" fillId="2" borderId="5" xfId="1" applyFont="1" applyFill="1" applyBorder="1" applyAlignment="1">
      <alignment horizontal="center" vertical="center" wrapText="1"/>
    </xf>
    <xf numFmtId="0" fontId="10" fillId="9" borderId="1" xfId="0" applyFont="1" applyFill="1" applyBorder="1" applyAlignment="1">
      <alignment horizontal="center" vertical="center" wrapText="1"/>
    </xf>
    <xf numFmtId="0" fontId="10" fillId="9" borderId="4" xfId="0" applyFont="1" applyFill="1" applyBorder="1" applyAlignment="1">
      <alignment horizontal="center" vertical="center"/>
    </xf>
    <xf numFmtId="0" fontId="10" fillId="9" borderId="6" xfId="0" applyFont="1" applyFill="1" applyBorder="1" applyAlignment="1">
      <alignment horizontal="left" vertical="center" wrapText="1"/>
    </xf>
    <xf numFmtId="0" fontId="10" fillId="9" borderId="1" xfId="0" applyFont="1" applyFill="1" applyBorder="1" applyAlignment="1">
      <alignment horizontal="left" vertical="center"/>
    </xf>
    <xf numFmtId="0" fontId="10" fillId="9" borderId="6" xfId="0" applyFont="1" applyFill="1" applyBorder="1" applyAlignment="1">
      <alignment vertical="center" wrapText="1"/>
    </xf>
    <xf numFmtId="0" fontId="10" fillId="9" borderId="1" xfId="0" applyFont="1" applyFill="1" applyBorder="1" applyAlignment="1">
      <alignment vertical="center"/>
    </xf>
    <xf numFmtId="0" fontId="2" fillId="2" borderId="4" xfId="0" quotePrefix="1" applyFont="1" applyFill="1" applyBorder="1" applyAlignment="1">
      <alignment horizontal="center" vertical="center" wrapText="1"/>
    </xf>
    <xf numFmtId="3" fontId="2" fillId="2" borderId="4" xfId="1" applyNumberFormat="1" applyFont="1" applyFill="1" applyBorder="1" applyAlignment="1">
      <alignment horizontal="center" vertical="center" wrapText="1"/>
    </xf>
    <xf numFmtId="14" fontId="2" fillId="2" borderId="4" xfId="1" quotePrefix="1" applyNumberFormat="1" applyFont="1" applyFill="1" applyBorder="1" applyAlignment="1">
      <alignment horizontal="center" vertical="center" wrapText="1"/>
    </xf>
    <xf numFmtId="16" fontId="2" fillId="2" borderId="4" xfId="0" applyNumberFormat="1" applyFont="1" applyFill="1" applyBorder="1" applyAlignment="1">
      <alignment horizontal="center" vertical="center" wrapText="1"/>
    </xf>
    <xf numFmtId="16" fontId="2" fillId="2" borderId="4" xfId="0" quotePrefix="1" applyNumberFormat="1" applyFont="1" applyFill="1" applyBorder="1" applyAlignment="1">
      <alignment horizontal="center" vertical="center" wrapText="1"/>
    </xf>
    <xf numFmtId="0" fontId="10" fillId="9" borderId="6" xfId="0" applyFont="1" applyFill="1" applyBorder="1" applyAlignment="1">
      <alignment horizontal="center" vertical="center" wrapText="1"/>
    </xf>
    <xf numFmtId="0" fontId="10" fillId="9" borderId="6" xfId="0" applyFont="1" applyFill="1" applyBorder="1" applyAlignment="1">
      <alignment horizontal="center" vertical="center"/>
    </xf>
    <xf numFmtId="0" fontId="10" fillId="9" borderId="1" xfId="0" applyFont="1" applyFill="1" applyBorder="1" applyAlignment="1">
      <alignment horizontal="center" vertical="center"/>
    </xf>
    <xf numFmtId="43" fontId="10" fillId="9" borderId="1" xfId="1" applyFont="1" applyFill="1" applyBorder="1" applyAlignment="1">
      <alignment horizontal="center" vertical="center"/>
    </xf>
    <xf numFmtId="43" fontId="10" fillId="9" borderId="5" xfId="1" applyFont="1" applyFill="1" applyBorder="1" applyAlignment="1">
      <alignment horizontal="center" vertical="center"/>
    </xf>
    <xf numFmtId="0" fontId="13" fillId="10" borderId="6" xfId="0" applyFont="1" applyFill="1" applyBorder="1" applyAlignment="1">
      <alignment horizontal="center" vertical="center"/>
    </xf>
    <xf numFmtId="0" fontId="13" fillId="10" borderId="1" xfId="0" applyFont="1" applyFill="1" applyBorder="1" applyAlignment="1">
      <alignment horizontal="center" vertical="center"/>
    </xf>
    <xf numFmtId="43" fontId="10" fillId="7" borderId="6" xfId="1" applyFont="1" applyFill="1" applyBorder="1" applyAlignment="1">
      <alignment horizontal="center" vertical="center" wrapText="1"/>
    </xf>
    <xf numFmtId="43" fontId="10" fillId="7" borderId="1" xfId="1" applyFont="1" applyFill="1" applyBorder="1" applyAlignment="1">
      <alignment horizontal="center" vertical="center" wrapText="1"/>
    </xf>
    <xf numFmtId="43" fontId="10" fillId="6" borderId="6" xfId="1" applyFont="1" applyFill="1" applyBorder="1" applyAlignment="1">
      <alignment horizontal="center" vertical="center" wrapText="1"/>
    </xf>
    <xf numFmtId="43" fontId="10" fillId="6" borderId="1" xfId="1" applyFont="1" applyFill="1" applyBorder="1" applyAlignment="1">
      <alignment horizontal="center" vertical="center" wrapText="1"/>
    </xf>
    <xf numFmtId="43" fontId="11" fillId="7" borderId="6" xfId="1" applyFont="1" applyFill="1" applyBorder="1" applyAlignment="1">
      <alignment horizontal="center" vertical="center" wrapText="1"/>
    </xf>
    <xf numFmtId="43" fontId="11" fillId="7" borderId="1" xfId="1" applyFont="1" applyFill="1" applyBorder="1" applyAlignment="1">
      <alignment horizontal="center" vertical="center" wrapText="1"/>
    </xf>
    <xf numFmtId="43" fontId="11" fillId="7" borderId="4" xfId="1" applyFont="1" applyFill="1" applyBorder="1" applyAlignment="1">
      <alignment horizontal="center" vertical="center" wrapText="1"/>
    </xf>
    <xf numFmtId="0" fontId="14" fillId="2" borderId="4" xfId="0" applyFont="1" applyFill="1" applyBorder="1" applyAlignment="1">
      <alignment horizontal="center" vertical="center" wrapText="1"/>
    </xf>
    <xf numFmtId="43" fontId="10" fillId="8" borderId="6" xfId="1" applyFont="1" applyFill="1" applyBorder="1" applyAlignment="1">
      <alignment horizontal="center" vertical="center" wrapText="1"/>
    </xf>
    <xf numFmtId="43" fontId="10" fillId="2" borderId="1" xfId="1" applyFont="1" applyFill="1" applyBorder="1" applyAlignment="1">
      <alignment horizontal="center" vertical="center" wrapText="1"/>
    </xf>
    <xf numFmtId="43" fontId="10" fillId="2" borderId="4" xfId="1" applyFont="1" applyFill="1" applyBorder="1" applyAlignment="1">
      <alignment horizontal="center" vertical="center" wrapText="1"/>
    </xf>
    <xf numFmtId="0" fontId="12" fillId="5" borderId="6"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0" fillId="11" borderId="1" xfId="0" applyFill="1" applyBorder="1" applyAlignment="1">
      <alignment horizontal="center" vertical="center" wrapText="1"/>
    </xf>
    <xf numFmtId="0" fontId="0" fillId="11" borderId="4" xfId="0" applyFill="1" applyBorder="1" applyAlignment="1">
      <alignment horizontal="center" vertical="center" wrapText="1"/>
    </xf>
    <xf numFmtId="0" fontId="0" fillId="11" borderId="5" xfId="0" applyFill="1" applyBorder="1" applyAlignment="1">
      <alignment horizontal="center" vertical="center" wrapText="1"/>
    </xf>
    <xf numFmtId="0" fontId="0" fillId="11" borderId="13" xfId="0" applyFill="1" applyBorder="1" applyAlignment="1">
      <alignment horizontal="center" vertical="center" wrapText="1"/>
    </xf>
    <xf numFmtId="0" fontId="0" fillId="11" borderId="9"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14" xfId="0" applyFill="1" applyBorder="1" applyAlignment="1">
      <alignment horizontal="center" vertical="center" wrapText="1"/>
    </xf>
    <xf numFmtId="0" fontId="0" fillId="11" borderId="10" xfId="0" applyFill="1" applyBorder="1" applyAlignment="1">
      <alignment horizontal="center" vertical="center" wrapText="1"/>
    </xf>
    <xf numFmtId="0" fontId="0" fillId="11" borderId="12" xfId="0" applyFill="1" applyBorder="1" applyAlignment="1">
      <alignment horizontal="center" vertical="center" wrapText="1"/>
    </xf>
    <xf numFmtId="0" fontId="0" fillId="11" borderId="0" xfId="0" applyFill="1" applyAlignment="1">
      <alignment horizontal="center" vertical="center" wrapText="1"/>
    </xf>
    <xf numFmtId="0" fontId="15" fillId="11" borderId="1" xfId="0" applyFont="1" applyFill="1" applyBorder="1" applyAlignment="1">
      <alignment horizontal="center" vertical="center" wrapText="1"/>
    </xf>
    <xf numFmtId="0" fontId="15" fillId="11" borderId="4" xfId="0" applyFont="1" applyFill="1" applyBorder="1" applyAlignment="1">
      <alignment horizontal="center" vertical="center" wrapText="1"/>
    </xf>
    <xf numFmtId="0" fontId="15" fillId="11" borderId="5" xfId="0" applyFont="1" applyFill="1" applyBorder="1" applyAlignment="1">
      <alignment horizontal="center" vertical="center" wrapText="1"/>
    </xf>
    <xf numFmtId="43" fontId="6" fillId="2" borderId="0" xfId="1" applyFont="1" applyFill="1" applyBorder="1" applyAlignment="1">
      <alignment horizontal="left" vertical="center"/>
    </xf>
    <xf numFmtId="43" fontId="3" fillId="0" borderId="0" xfId="1" applyFont="1" applyAlignment="1">
      <alignment horizontal="center" vertical="center"/>
    </xf>
    <xf numFmtId="43" fontId="9" fillId="0" borderId="1" xfId="1" applyFont="1" applyFill="1" applyBorder="1" applyAlignment="1">
      <alignment horizontal="center" vertical="center"/>
    </xf>
    <xf numFmtId="43" fontId="9" fillId="0" borderId="4" xfId="1" applyFont="1" applyFill="1" applyBorder="1" applyAlignment="1">
      <alignment horizontal="center" vertical="center"/>
    </xf>
    <xf numFmtId="43" fontId="9" fillId="0" borderId="5" xfId="1" applyFont="1" applyFill="1" applyBorder="1" applyAlignment="1">
      <alignment horizontal="center" vertical="center"/>
    </xf>
    <xf numFmtId="43" fontId="4" fillId="0" borderId="1" xfId="1" applyFont="1" applyFill="1" applyBorder="1" applyAlignment="1">
      <alignment horizontal="center" vertical="center"/>
    </xf>
    <xf numFmtId="43" fontId="4" fillId="0" borderId="4" xfId="1" applyFont="1" applyFill="1" applyBorder="1" applyAlignment="1">
      <alignment horizontal="center" vertical="center"/>
    </xf>
    <xf numFmtId="43" fontId="4" fillId="0" borderId="5" xfId="1" applyFont="1" applyFill="1" applyBorder="1" applyAlignment="1">
      <alignment horizontal="center" vertical="center"/>
    </xf>
    <xf numFmtId="43" fontId="4" fillId="0" borderId="13" xfId="1" applyFont="1" applyFill="1" applyBorder="1" applyAlignment="1">
      <alignment horizontal="center" vertical="center" wrapText="1"/>
    </xf>
    <xf numFmtId="43" fontId="4" fillId="0" borderId="3" xfId="1" applyFont="1" applyFill="1" applyBorder="1" applyAlignment="1">
      <alignment horizontal="center" vertical="center" wrapText="1"/>
    </xf>
    <xf numFmtId="43" fontId="4" fillId="0" borderId="10" xfId="1" applyFont="1" applyFill="1" applyBorder="1" applyAlignment="1">
      <alignment horizontal="center" vertical="center" wrapText="1"/>
    </xf>
    <xf numFmtId="43" fontId="9" fillId="0" borderId="2" xfId="1" applyFont="1" applyFill="1" applyBorder="1" applyAlignment="1">
      <alignment horizontal="center" vertical="center"/>
    </xf>
    <xf numFmtId="43" fontId="9" fillId="0" borderId="11" xfId="1" applyFont="1" applyFill="1" applyBorder="1" applyAlignment="1">
      <alignment horizontal="center" vertical="center"/>
    </xf>
    <xf numFmtId="43" fontId="9" fillId="0" borderId="8" xfId="1" applyFont="1" applyFill="1" applyBorder="1" applyAlignment="1">
      <alignment horizontal="center" vertical="center"/>
    </xf>
    <xf numFmtId="43" fontId="9" fillId="5" borderId="2" xfId="1" applyFont="1" applyFill="1" applyBorder="1" applyAlignment="1">
      <alignment horizontal="center" vertical="center" wrapText="1"/>
    </xf>
    <xf numFmtId="43" fontId="9" fillId="5" borderId="11" xfId="1" applyFont="1" applyFill="1" applyBorder="1" applyAlignment="1">
      <alignment horizontal="center" vertical="center" wrapText="1"/>
    </xf>
    <xf numFmtId="43" fontId="9" fillId="5" borderId="8" xfId="1" applyFont="1" applyFill="1" applyBorder="1" applyAlignment="1">
      <alignment horizontal="center" vertical="center" wrapText="1"/>
    </xf>
    <xf numFmtId="43" fontId="7" fillId="2" borderId="7" xfId="1" applyFont="1" applyFill="1" applyBorder="1" applyAlignment="1">
      <alignment horizontal="center" vertical="center"/>
    </xf>
    <xf numFmtId="0" fontId="0" fillId="11" borderId="6" xfId="0" applyFill="1" applyBorder="1" applyAlignment="1">
      <alignment horizontal="right"/>
    </xf>
  </cellXfs>
  <cellStyles count="3">
    <cellStyle name="Comma" xfId="1" builtinId="3"/>
    <cellStyle name="Normal" xfId="0" builtinId="0"/>
    <cellStyle name="Percent" xfId="2" builtinId="5"/>
  </cellStyles>
  <dxfs count="3">
    <dxf>
      <border>
        <left style="thin">
          <color auto="1"/>
        </left>
        <right style="thin">
          <color auto="1"/>
        </right>
        <top style="thin">
          <color auto="1"/>
        </top>
        <bottom style="thin">
          <color auto="1"/>
        </bottom>
        <vertical/>
        <horizontal/>
      </border>
    </dxf>
    <dxf>
      <fill>
        <patternFill>
          <bgColor rgb="FFFFCCCC"/>
        </patternFill>
      </fill>
    </dxf>
    <dxf>
      <fill>
        <patternFill>
          <bgColor theme="0"/>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3_2">
  <dgm:title val=""/>
  <dgm:desc val=""/>
  <dgm:catLst>
    <dgm:cat type="accent3" pri="11200"/>
  </dgm:catLst>
  <dgm:styleLbl name="node0">
    <dgm:fillClrLst meth="repeat">
      <a:schemeClr val="accent3"/>
    </dgm:fillClrLst>
    <dgm:linClrLst meth="repeat">
      <a:schemeClr val="lt1"/>
    </dgm:linClrLst>
    <dgm:effectClrLst/>
    <dgm:txLinClrLst/>
    <dgm:txFillClrLst/>
    <dgm:txEffectClrLst/>
  </dgm:styleLbl>
  <dgm:styleLbl name="node1">
    <dgm:fillClrLst meth="repeat">
      <a:schemeClr val="accent3"/>
    </dgm:fillClrLst>
    <dgm:linClrLst meth="repeat">
      <a:schemeClr val="lt1"/>
    </dgm:linClrLst>
    <dgm:effectClrLst/>
    <dgm:txLinClrLst/>
    <dgm:txFillClrLst/>
    <dgm:txEffectClrLst/>
  </dgm:styleLbl>
  <dgm:styleLbl name="alignNode1">
    <dgm:fillClrLst meth="repeat">
      <a:schemeClr val="accent3"/>
    </dgm:fillClrLst>
    <dgm:linClrLst meth="repeat">
      <a:schemeClr val="accent3"/>
    </dgm:linClrLst>
    <dgm:effectClrLst/>
    <dgm:txLinClrLst/>
    <dgm:txFillClrLst/>
    <dgm:txEffectClrLst/>
  </dgm:styleLbl>
  <dgm:styleLbl name="lnNode1">
    <dgm:fillClrLst meth="repeat">
      <a:schemeClr val="accent3"/>
    </dgm:fillClrLst>
    <dgm:linClrLst meth="repeat">
      <a:schemeClr val="lt1"/>
    </dgm:linClrLst>
    <dgm:effectClrLst/>
    <dgm:txLinClrLst/>
    <dgm:txFillClrLst/>
    <dgm:txEffectClrLst/>
  </dgm:styleLbl>
  <dgm:styleLbl name="vennNode1">
    <dgm:fillClrLst meth="repeat">
      <a:schemeClr val="accent3">
        <a:alpha val="50000"/>
      </a:schemeClr>
    </dgm:fillClrLst>
    <dgm:linClrLst meth="repeat">
      <a:schemeClr val="lt1"/>
    </dgm:linClrLst>
    <dgm:effectClrLst/>
    <dgm:txLinClrLst/>
    <dgm:txFillClrLst/>
    <dgm:txEffectClrLst/>
  </dgm:styleLbl>
  <dgm:styleLbl name="node2">
    <dgm:fillClrLst meth="repeat">
      <a:schemeClr val="accent3"/>
    </dgm:fillClrLst>
    <dgm:linClrLst meth="repeat">
      <a:schemeClr val="lt1"/>
    </dgm:linClrLst>
    <dgm:effectClrLst/>
    <dgm:txLinClrLst/>
    <dgm:txFillClrLst/>
    <dgm:txEffectClrLst/>
  </dgm:styleLbl>
  <dgm:styleLbl name="node3">
    <dgm:fillClrLst meth="repeat">
      <a:schemeClr val="accent3"/>
    </dgm:fillClrLst>
    <dgm:linClrLst meth="repeat">
      <a:schemeClr val="lt1"/>
    </dgm:linClrLst>
    <dgm:effectClrLst/>
    <dgm:txLinClrLst/>
    <dgm:txFillClrLst/>
    <dgm:txEffectClrLst/>
  </dgm:styleLbl>
  <dgm:styleLbl name="node4">
    <dgm:fillClrLst meth="repeat">
      <a:schemeClr val="accent3"/>
    </dgm:fillClrLst>
    <dgm:linClrLst meth="repeat">
      <a:schemeClr val="lt1"/>
    </dgm:linClrLst>
    <dgm:effectClrLst/>
    <dgm:txLinClrLst/>
    <dgm:txFillClrLst/>
    <dgm:txEffectClrLst/>
  </dgm:styleLbl>
  <dgm:styleLbl name="fgImgPlace1">
    <dgm:fillClrLst meth="repeat">
      <a:schemeClr val="accent3">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3">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3">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3">
        <a:tint val="60000"/>
      </a:schemeClr>
    </dgm:fillClrLst>
    <dgm:linClrLst meth="repeat">
      <a:schemeClr val="accent3">
        <a:tint val="60000"/>
      </a:schemeClr>
    </dgm:linClrLst>
    <dgm:effectClrLst/>
    <dgm:txLinClrLst/>
    <dgm:txFillClrLst/>
    <dgm:txEffectClrLst/>
  </dgm:styleLbl>
  <dgm:styleLbl name="fgSibTrans2D1">
    <dgm:fillClrLst meth="repeat">
      <a:schemeClr val="accent3">
        <a:tint val="60000"/>
      </a:schemeClr>
    </dgm:fillClrLst>
    <dgm:linClrLst meth="repeat">
      <a:schemeClr val="accent3">
        <a:tint val="60000"/>
      </a:schemeClr>
    </dgm:linClrLst>
    <dgm:effectClrLst/>
    <dgm:txLinClrLst/>
    <dgm:txFillClrLst/>
    <dgm:txEffectClrLst/>
  </dgm:styleLbl>
  <dgm:styleLbl name="bgSibTrans2D1">
    <dgm:fillClrLst meth="repeat">
      <a:schemeClr val="accent3">
        <a:tint val="60000"/>
      </a:schemeClr>
    </dgm:fillClrLst>
    <dgm:linClrLst meth="repeat">
      <a:schemeClr val="accent3">
        <a:tint val="60000"/>
      </a:schemeClr>
    </dgm:linClrLst>
    <dgm:effectClrLst/>
    <dgm:txLinClrLst/>
    <dgm:txFillClrLst/>
    <dgm:txEffectClrLst/>
  </dgm:styleLbl>
  <dgm:styleLbl name="sibTrans1D1">
    <dgm:fillClrLst meth="repeat">
      <a:schemeClr val="accent3"/>
    </dgm:fillClrLst>
    <dgm:linClrLst meth="repeat">
      <a:schemeClr val="accent3"/>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dgm:linClrLst>
    <dgm:effectClrLst/>
    <dgm:txLinClrLst/>
    <dgm:txFillClrLst/>
    <dgm:txEffectClrLst/>
  </dgm:styleLbl>
  <dgm:styleLbl name="asst1">
    <dgm:fillClrLst meth="repeat">
      <a:schemeClr val="accent3"/>
    </dgm:fillClrLst>
    <dgm:linClrLst meth="repeat">
      <a:schemeClr val="lt1"/>
    </dgm:linClrLst>
    <dgm:effectClrLst/>
    <dgm:txLinClrLst/>
    <dgm:txFillClrLst/>
    <dgm:txEffectClrLst/>
  </dgm:styleLbl>
  <dgm:styleLbl name="asst2">
    <dgm:fillClrLst meth="repeat">
      <a:schemeClr val="accent3"/>
    </dgm:fillClrLst>
    <dgm:linClrLst meth="repeat">
      <a:schemeClr val="lt1"/>
    </dgm:linClrLst>
    <dgm:effectClrLst/>
    <dgm:txLinClrLst/>
    <dgm:txFillClrLst/>
    <dgm:txEffectClrLst/>
  </dgm:styleLbl>
  <dgm:styleLbl name="asst3">
    <dgm:fillClrLst meth="repeat">
      <a:schemeClr val="accent3"/>
    </dgm:fillClrLst>
    <dgm:linClrLst meth="repeat">
      <a:schemeClr val="lt1"/>
    </dgm:linClrLst>
    <dgm:effectClrLst/>
    <dgm:txLinClrLst/>
    <dgm:txFillClrLst/>
    <dgm:txEffectClrLst/>
  </dgm:styleLbl>
  <dgm:styleLbl name="asst4">
    <dgm:fillClrLst meth="repeat">
      <a:schemeClr val="accent3"/>
    </dgm:fillClrLst>
    <dgm:linClrLst meth="repeat">
      <a:schemeClr val="lt1"/>
    </dgm:linClrLst>
    <dgm:effectClrLst/>
    <dgm:txLinClrLst/>
    <dgm:txFillClrLst/>
    <dgm:txEffectClrLst/>
  </dgm:styleLbl>
  <dgm:styleLbl name="parChTrans2D1">
    <dgm:fillClrLst meth="repeat">
      <a:schemeClr val="accent3">
        <a:tint val="60000"/>
      </a:schemeClr>
    </dgm:fillClrLst>
    <dgm:linClrLst meth="repeat">
      <a:schemeClr val="accent3">
        <a:tint val="60000"/>
      </a:schemeClr>
    </dgm:linClrLst>
    <dgm:effectClrLst/>
    <dgm:txLinClrLst/>
    <dgm:txFillClrLst meth="repeat">
      <a:schemeClr val="lt1"/>
    </dgm:txFillClrLst>
    <dgm:txEffectClrLst/>
  </dgm:styleLbl>
  <dgm:styleLbl name="parChTrans2D2">
    <dgm:fillClrLst meth="repeat">
      <a:schemeClr val="accent3"/>
    </dgm:fillClrLst>
    <dgm:linClrLst meth="repeat">
      <a:schemeClr val="accent3"/>
    </dgm:linClrLst>
    <dgm:effectClrLst/>
    <dgm:txLinClrLst/>
    <dgm:txFillClrLst meth="repeat">
      <a:schemeClr val="lt1"/>
    </dgm:txFillClrLst>
    <dgm:txEffectClrLst/>
  </dgm:styleLbl>
  <dgm:styleLbl name="parChTrans2D3">
    <dgm:fillClrLst meth="repeat">
      <a:schemeClr val="accent3"/>
    </dgm:fillClrLst>
    <dgm:linClrLst meth="repeat">
      <a:schemeClr val="accent3"/>
    </dgm:linClrLst>
    <dgm:effectClrLst/>
    <dgm:txLinClrLst/>
    <dgm:txFillClrLst meth="repeat">
      <a:schemeClr val="lt1"/>
    </dgm:txFillClrLst>
    <dgm:txEffectClrLst/>
  </dgm:styleLbl>
  <dgm:styleLbl name="parChTrans2D4">
    <dgm:fillClrLst meth="repeat">
      <a:schemeClr val="accent3"/>
    </dgm:fillClrLst>
    <dgm:linClrLst meth="repeat">
      <a:schemeClr val="accent3"/>
    </dgm:linClrLst>
    <dgm:effectClrLst/>
    <dgm:txLinClrLst/>
    <dgm:txFillClrLst meth="repeat">
      <a:schemeClr val="lt1"/>
    </dgm:txFillClrLst>
    <dgm:txEffectClrLst/>
  </dgm:styleLbl>
  <dgm:styleLbl name="parChTrans1D1">
    <dgm:fillClrLst meth="repeat">
      <a:schemeClr val="accent3"/>
    </dgm:fillClrLst>
    <dgm:linClrLst meth="repeat">
      <a:schemeClr val="accent3">
        <a:shade val="60000"/>
      </a:schemeClr>
    </dgm:linClrLst>
    <dgm:effectClrLst/>
    <dgm:txLinClrLst/>
    <dgm:txFillClrLst meth="repeat">
      <a:schemeClr val="tx1"/>
    </dgm:txFillClrLst>
    <dgm:txEffectClrLst/>
  </dgm:styleLbl>
  <dgm:styleLbl name="parChTrans1D2">
    <dgm:fillClrLst meth="repeat">
      <a:schemeClr val="accent3"/>
    </dgm:fillClrLst>
    <dgm:linClrLst meth="repeat">
      <a:schemeClr val="accent3">
        <a:shade val="60000"/>
      </a:schemeClr>
    </dgm:linClrLst>
    <dgm:effectClrLst/>
    <dgm:txLinClrLst/>
    <dgm:txFillClrLst meth="repeat">
      <a:schemeClr val="tx1"/>
    </dgm:txFillClrLst>
    <dgm:txEffectClrLst/>
  </dgm:styleLbl>
  <dgm:styleLbl name="parChTrans1D3">
    <dgm:fillClrLst meth="repeat">
      <a:schemeClr val="accent3"/>
    </dgm:fillClrLst>
    <dgm:linClrLst meth="repeat">
      <a:schemeClr val="accent3">
        <a:shade val="80000"/>
      </a:schemeClr>
    </dgm:linClrLst>
    <dgm:effectClrLst/>
    <dgm:txLinClrLst/>
    <dgm:txFillClrLst meth="repeat">
      <a:schemeClr val="tx1"/>
    </dgm:txFillClrLst>
    <dgm:txEffectClrLst/>
  </dgm:styleLbl>
  <dgm:styleLbl name="parChTrans1D4">
    <dgm:fillClrLst meth="repeat">
      <a:schemeClr val="accent3"/>
    </dgm:fillClrLst>
    <dgm:linClrLst meth="repeat">
      <a:schemeClr val="accent3">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3"/>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solidFgAcc1">
    <dgm:fillClrLst meth="repeat">
      <a:schemeClr val="lt1"/>
    </dgm:fillClrLst>
    <dgm:linClrLst meth="repeat">
      <a:schemeClr val="accent3"/>
    </dgm:linClrLst>
    <dgm:effectClrLst/>
    <dgm:txLinClrLst/>
    <dgm:txFillClrLst meth="repeat">
      <a:schemeClr val="dk1"/>
    </dgm:txFillClrLst>
    <dgm:txEffectClrLst/>
  </dgm:styleLbl>
  <dgm:styleLbl name="solidAlignAcc1">
    <dgm:fillClrLst meth="repeat">
      <a:schemeClr val="lt1"/>
    </dgm:fillClrLst>
    <dgm:linClrLst meth="repeat">
      <a:schemeClr val="accent3"/>
    </dgm:linClrLst>
    <dgm:effectClrLst/>
    <dgm:txLinClrLst/>
    <dgm:txFillClrLst meth="repeat">
      <a:schemeClr val="dk1"/>
    </dgm:txFillClrLst>
    <dgm:txEffectClrLst/>
  </dgm:styleLbl>
  <dgm:styleLbl name="solidBgAcc1">
    <dgm:fillClrLst meth="repeat">
      <a:schemeClr val="lt1"/>
    </dgm:fillClrLst>
    <dgm:linClrLst meth="repeat">
      <a:schemeClr val="accent3"/>
    </dgm:linClrLst>
    <dgm:effectClrLst/>
    <dgm:txLinClrLst/>
    <dgm:txFillClrLst meth="repeat">
      <a:schemeClr val="dk1"/>
    </dgm:txFillClrLst>
    <dgm:txEffectClrLst/>
  </dgm:styleLbl>
  <dgm:styleLbl name="fgAccFollowNode1">
    <dgm:fillClrLst meth="repeat">
      <a:schemeClr val="accent3">
        <a:alpha val="9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alignAccFollowNode1">
    <dgm:fillClrLst meth="repeat">
      <a:schemeClr val="accent3">
        <a:alpha val="9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bgAccFollowNode1">
    <dgm:fillClrLst meth="repeat">
      <a:schemeClr val="accent3">
        <a:alpha val="90000"/>
        <a:tint val="40000"/>
      </a:schemeClr>
    </dgm:fillClrLst>
    <dgm:linClrLst meth="repeat">
      <a:schemeClr val="accent3">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3"/>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accent3"/>
    </dgm:linClrLst>
    <dgm:effectClrLst/>
    <dgm:txLinClrLst/>
    <dgm:txFillClrLst meth="repeat">
      <a:schemeClr val="dk1"/>
    </dgm:txFillClrLst>
    <dgm:txEffectClrLst/>
  </dgm:styleLbl>
  <dgm:styleLbl name="dkBgShp">
    <dgm:fillClrLst meth="repeat">
      <a:schemeClr val="accent3">
        <a:shade val="80000"/>
      </a:schemeClr>
    </dgm:fillClrLst>
    <dgm:linClrLst meth="repeat">
      <a:schemeClr val="accent3"/>
    </dgm:linClrLst>
    <dgm:effectClrLst/>
    <dgm:txLinClrLst/>
    <dgm:txFillClrLst meth="repeat">
      <a:schemeClr val="lt1"/>
    </dgm:txFillClrLst>
    <dgm:txEffectClrLst/>
  </dgm:styleLbl>
  <dgm:styleLbl name="trBgShp">
    <dgm:fillClrLst meth="repeat">
      <a:schemeClr val="accent3">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6_2">
  <dgm:title val=""/>
  <dgm:desc val=""/>
  <dgm:catLst>
    <dgm:cat type="accent6" pri="11200"/>
  </dgm:catLst>
  <dgm:styleLbl name="node0">
    <dgm:fillClrLst meth="repeat">
      <a:schemeClr val="accent6"/>
    </dgm:fillClrLst>
    <dgm:linClrLst meth="repeat">
      <a:schemeClr val="lt1"/>
    </dgm:linClrLst>
    <dgm:effectClrLst/>
    <dgm:txLinClrLst/>
    <dgm:txFillClrLst/>
    <dgm:txEffectClrLst/>
  </dgm:styleLbl>
  <dgm:styleLbl name="node1">
    <dgm:fillClrLst meth="repeat">
      <a:schemeClr val="accent6"/>
    </dgm:fillClrLst>
    <dgm:linClrLst meth="repeat">
      <a:schemeClr val="lt1"/>
    </dgm:linClrLst>
    <dgm:effectClrLst/>
    <dgm:txLinClrLst/>
    <dgm:txFillClrLst/>
    <dgm:txEffectClrLst/>
  </dgm:styleLbl>
  <dgm:styleLbl name="alignNode1">
    <dgm:fillClrLst meth="repeat">
      <a:schemeClr val="accent6"/>
    </dgm:fillClrLst>
    <dgm:linClrLst meth="repeat">
      <a:schemeClr val="accent6"/>
    </dgm:linClrLst>
    <dgm:effectClrLst/>
    <dgm:txLinClrLst/>
    <dgm:txFillClrLst/>
    <dgm:txEffectClrLst/>
  </dgm:styleLbl>
  <dgm:styleLbl name="lnNode1">
    <dgm:fillClrLst meth="repeat">
      <a:schemeClr val="accent6"/>
    </dgm:fillClrLst>
    <dgm:linClrLst meth="repeat">
      <a:schemeClr val="lt1"/>
    </dgm:linClrLst>
    <dgm:effectClrLst/>
    <dgm:txLinClrLst/>
    <dgm:txFillClrLst/>
    <dgm:txEffectClrLst/>
  </dgm:styleLbl>
  <dgm:styleLbl name="vennNode1">
    <dgm:fillClrLst meth="repeat">
      <a:schemeClr val="accent6">
        <a:alpha val="50000"/>
      </a:schemeClr>
    </dgm:fillClrLst>
    <dgm:linClrLst meth="repeat">
      <a:schemeClr val="lt1"/>
    </dgm:linClrLst>
    <dgm:effectClrLst/>
    <dgm:txLinClrLst/>
    <dgm:txFillClrLst/>
    <dgm:txEffectClrLst/>
  </dgm:styleLbl>
  <dgm:styleLbl name="node2">
    <dgm:fillClrLst meth="repeat">
      <a:schemeClr val="accent6"/>
    </dgm:fillClrLst>
    <dgm:linClrLst meth="repeat">
      <a:schemeClr val="lt1"/>
    </dgm:linClrLst>
    <dgm:effectClrLst/>
    <dgm:txLinClrLst/>
    <dgm:txFillClrLst/>
    <dgm:txEffectClrLst/>
  </dgm:styleLbl>
  <dgm:styleLbl name="node3">
    <dgm:fillClrLst meth="repeat">
      <a:schemeClr val="accent6"/>
    </dgm:fillClrLst>
    <dgm:linClrLst meth="repeat">
      <a:schemeClr val="lt1"/>
    </dgm:linClrLst>
    <dgm:effectClrLst/>
    <dgm:txLinClrLst/>
    <dgm:txFillClrLst/>
    <dgm:txEffectClrLst/>
  </dgm:styleLbl>
  <dgm:styleLbl name="node4">
    <dgm:fillClrLst meth="repeat">
      <a:schemeClr val="accent6"/>
    </dgm:fillClrLst>
    <dgm:linClrLst meth="repeat">
      <a:schemeClr val="lt1"/>
    </dgm:linClrLst>
    <dgm:effectClrLst/>
    <dgm:txLinClrLst/>
    <dgm:txFillClrLst/>
    <dgm:txEffectClrLst/>
  </dgm:styleLbl>
  <dgm:styleLbl name="f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6">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a:tint val="50000"/>
      </a:schemeClr>
    </dgm:linClrLst>
    <dgm:effectClrLst/>
    <dgm:txLinClrLst/>
    <dgm:txFillClrLst meth="repeat">
      <a:schemeClr val="tx1"/>
    </dgm:txFillClrLst>
    <dgm:txEffectClrLst/>
  </dgm:styleLbl>
  <dgm:styleLbl name="asst0">
    <dgm:fillClrLst meth="repeat">
      <a:schemeClr val="accent6"/>
    </dgm:fillClrLst>
    <dgm:linClrLst meth="repeat">
      <a:schemeClr val="lt1"/>
    </dgm:linClrLst>
    <dgm:effectClrLst/>
    <dgm:txLinClrLst/>
    <dgm:txFillClrLst/>
    <dgm:txEffectClrLst/>
  </dgm:styleLbl>
  <dgm:styleLbl name="asst1">
    <dgm:fillClrLst meth="repeat">
      <a:schemeClr val="accent6"/>
    </dgm:fillClrLst>
    <dgm:linClrLst meth="repeat">
      <a:schemeClr val="lt1"/>
    </dgm:linClrLst>
    <dgm:effectClrLst/>
    <dgm:txLinClrLst/>
    <dgm:txFillClrLst/>
    <dgm:txEffectClrLst/>
  </dgm:styleLbl>
  <dgm:styleLbl name="asst2">
    <dgm:fillClrLst meth="repeat">
      <a:schemeClr val="accent6"/>
    </dgm:fillClrLst>
    <dgm:linClrLst meth="repeat">
      <a:schemeClr val="lt1"/>
    </dgm:linClrLst>
    <dgm:effectClrLst/>
    <dgm:txLinClrLst/>
    <dgm:txFillClrLst/>
    <dgm:txEffectClrLst/>
  </dgm:styleLbl>
  <dgm:styleLbl name="asst3">
    <dgm:fillClrLst meth="repeat">
      <a:schemeClr val="accent6"/>
    </dgm:fillClrLst>
    <dgm:linClrLst meth="repeat">
      <a:schemeClr val="lt1"/>
    </dgm:linClrLst>
    <dgm:effectClrLst/>
    <dgm:txLinClrLst/>
    <dgm:txFillClrLst/>
    <dgm:txEffectClrLst/>
  </dgm:styleLbl>
  <dgm:styleLbl name="asst4">
    <dgm:fillClrLst meth="repeat">
      <a:schemeClr val="accent6"/>
    </dgm:fillClrLst>
    <dgm:linClrLst meth="repeat">
      <a:schemeClr val="lt1"/>
    </dgm:linClrLst>
    <dgm:effectClrLst/>
    <dgm:txLinClrLst/>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meth="repeat">
      <a:schemeClr val="lt1"/>
    </dgm:txFillClrLst>
    <dgm:txEffectClrLst/>
  </dgm:styleLbl>
  <dgm:styleLbl name="parChTrans2D2">
    <dgm:fillClrLst meth="repeat">
      <a:schemeClr val="accent6"/>
    </dgm:fillClrLst>
    <dgm:linClrLst meth="repeat">
      <a:schemeClr val="accent6"/>
    </dgm:linClrLst>
    <dgm:effectClrLst/>
    <dgm:txLinClrLst/>
    <dgm:txFillClrLst meth="repeat">
      <a:schemeClr val="lt1"/>
    </dgm:txFillClrLst>
    <dgm:txEffectClrLst/>
  </dgm:styleLbl>
  <dgm:styleLbl name="parChTrans2D3">
    <dgm:fillClrLst meth="repeat">
      <a:schemeClr val="accent6"/>
    </dgm:fillClrLst>
    <dgm:linClrLst meth="repeat">
      <a:schemeClr val="accent6"/>
    </dgm:linClrLst>
    <dgm:effectClrLst/>
    <dgm:txLinClrLst/>
    <dgm:txFillClrLst meth="repeat">
      <a:schemeClr val="lt1"/>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6"/>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align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bgAccFollowNode1">
    <dgm:fillClrLst meth="repeat">
      <a:schemeClr val="accent6">
        <a:alpha val="90000"/>
        <a:tint val="40000"/>
      </a:schemeClr>
    </dgm:fillClrLst>
    <dgm:linClrLst meth="repeat">
      <a:schemeClr val="accent6">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DCB1C2D6-FA3B-124E-8D93-75E20451C4ED}" type="doc">
      <dgm:prSet loTypeId="urn:microsoft.com/office/officeart/2005/8/layout/process1" loCatId="" qsTypeId="urn:microsoft.com/office/officeart/2005/8/quickstyle/simple1" qsCatId="simple" csTypeId="urn:microsoft.com/office/officeart/2005/8/colors/accent3_2" csCatId="accent3" phldr="1"/>
      <dgm:spPr/>
    </dgm:pt>
    <dgm:pt modelId="{899D02E1-A347-6143-AFFB-DF05CA789C4F}">
      <dgm:prSet phldrT="[Text]"/>
      <dgm:spPr/>
      <dgm:t>
        <a:bodyPr/>
        <a:lstStyle/>
        <a:p>
          <a:r>
            <a:rPr lang="en-US"/>
            <a:t>Liên hệ khách hàng bán Nguyên liệu</a:t>
          </a:r>
        </a:p>
      </dgm:t>
    </dgm:pt>
    <dgm:pt modelId="{A924AD87-31E8-A044-A1C6-8F02EEEB437D}" type="parTrans" cxnId="{EEEF173D-45B5-3F42-BEF3-59D23BA6B721}">
      <dgm:prSet/>
      <dgm:spPr/>
      <dgm:t>
        <a:bodyPr/>
        <a:lstStyle/>
        <a:p>
          <a:endParaRPr lang="en-US"/>
        </a:p>
      </dgm:t>
    </dgm:pt>
    <dgm:pt modelId="{E10AE7DE-687B-7D47-9564-C474C0E141C0}" type="sibTrans" cxnId="{EEEF173D-45B5-3F42-BEF3-59D23BA6B721}">
      <dgm:prSet/>
      <dgm:spPr/>
      <dgm:t>
        <a:bodyPr/>
        <a:lstStyle/>
        <a:p>
          <a:endParaRPr lang="en-US"/>
        </a:p>
      </dgm:t>
    </dgm:pt>
    <dgm:pt modelId="{6558C69F-E40C-1148-9D98-19FAD7A7D1A4}">
      <dgm:prSet phldrT="[Text]"/>
      <dgm:spPr/>
      <dgm:t>
        <a:bodyPr/>
        <a:lstStyle/>
        <a:p>
          <a:r>
            <a:rPr lang="en-US"/>
            <a:t>Nhận các chứng từ liên quan đến lô hàng ( giấy kiểm nghiệm, chứng minh nguồn gốc, hóa đơn v.v..)</a:t>
          </a:r>
        </a:p>
      </dgm:t>
    </dgm:pt>
    <dgm:pt modelId="{2F828BB0-8855-FE48-8C39-073ECA64C8B8}" type="parTrans" cxnId="{FE993C4F-3C78-B343-8439-C4D031A3DAD7}">
      <dgm:prSet/>
      <dgm:spPr/>
      <dgm:t>
        <a:bodyPr/>
        <a:lstStyle/>
        <a:p>
          <a:endParaRPr lang="en-US"/>
        </a:p>
      </dgm:t>
    </dgm:pt>
    <dgm:pt modelId="{4AD9B1AE-788C-6447-8913-F02E1A4E28E9}" type="sibTrans" cxnId="{FE993C4F-3C78-B343-8439-C4D031A3DAD7}">
      <dgm:prSet/>
      <dgm:spPr/>
      <dgm:t>
        <a:bodyPr/>
        <a:lstStyle/>
        <a:p>
          <a:endParaRPr lang="en-US"/>
        </a:p>
      </dgm:t>
    </dgm:pt>
    <dgm:pt modelId="{AC153A2E-0ED6-2449-9C0E-8435B0174F91}">
      <dgm:prSet phldrT="[Text]"/>
      <dgm:spPr/>
      <dgm:t>
        <a:bodyPr/>
        <a:lstStyle/>
        <a:p>
          <a:r>
            <a:rPr lang="en-US"/>
            <a:t>Nhận thông tin hàng về cảng</a:t>
          </a:r>
        </a:p>
      </dgm:t>
    </dgm:pt>
    <dgm:pt modelId="{219B9418-8FDE-8041-9038-B003A0092A13}" type="parTrans" cxnId="{A0FCF6BB-7F13-D942-8165-1C82644B2659}">
      <dgm:prSet/>
      <dgm:spPr/>
      <dgm:t>
        <a:bodyPr/>
        <a:lstStyle/>
        <a:p>
          <a:endParaRPr lang="en-US"/>
        </a:p>
      </dgm:t>
    </dgm:pt>
    <dgm:pt modelId="{09F49645-BAD3-AE48-8663-E3D91F86548D}" type="sibTrans" cxnId="{A0FCF6BB-7F13-D942-8165-1C82644B2659}">
      <dgm:prSet/>
      <dgm:spPr/>
      <dgm:t>
        <a:bodyPr/>
        <a:lstStyle/>
        <a:p>
          <a:endParaRPr lang="en-US"/>
        </a:p>
      </dgm:t>
    </dgm:pt>
    <dgm:pt modelId="{B4680781-ABF3-8940-805C-7DA40D7F820D}">
      <dgm:prSet phldrT="[Text]"/>
      <dgm:spPr/>
      <dgm:t>
        <a:bodyPr/>
        <a:lstStyle/>
        <a:p>
          <a:r>
            <a:rPr lang="en-US"/>
            <a:t>Tạo hợp đồng</a:t>
          </a:r>
        </a:p>
      </dgm:t>
    </dgm:pt>
    <dgm:pt modelId="{A7FD2EEC-DDE9-9644-B948-FFBD18B39931}" type="parTrans" cxnId="{671E77F6-7411-EC42-AF6C-67507CEDC34C}">
      <dgm:prSet/>
      <dgm:spPr/>
      <dgm:t>
        <a:bodyPr/>
        <a:lstStyle/>
        <a:p>
          <a:endParaRPr lang="en-US"/>
        </a:p>
      </dgm:t>
    </dgm:pt>
    <dgm:pt modelId="{45BDE350-2266-F846-8C2F-CF73BD4FFD2C}" type="sibTrans" cxnId="{671E77F6-7411-EC42-AF6C-67507CEDC34C}">
      <dgm:prSet/>
      <dgm:spPr/>
      <dgm:t>
        <a:bodyPr/>
        <a:lstStyle/>
        <a:p>
          <a:endParaRPr lang="en-US"/>
        </a:p>
      </dgm:t>
    </dgm:pt>
    <dgm:pt modelId="{180CFF39-3CCC-3F44-8744-7C32B98A4BA2}">
      <dgm:prSet phldrT="[Text]"/>
      <dgm:spPr/>
      <dgm:t>
        <a:bodyPr/>
        <a:lstStyle/>
        <a:p>
          <a:r>
            <a:rPr lang="en-US"/>
            <a:t>Khai báo với Hải quan/ cơ quan liên quan</a:t>
          </a:r>
        </a:p>
      </dgm:t>
    </dgm:pt>
    <dgm:pt modelId="{8C21156E-32C8-7F4D-857B-A8789F43C267}" type="parTrans" cxnId="{426B5A76-5161-C443-8077-06FE35542DB2}">
      <dgm:prSet/>
      <dgm:spPr/>
      <dgm:t>
        <a:bodyPr/>
        <a:lstStyle/>
        <a:p>
          <a:endParaRPr lang="en-US"/>
        </a:p>
      </dgm:t>
    </dgm:pt>
    <dgm:pt modelId="{515BF094-5A6E-7D40-A5F3-92A19C5AAA68}" type="sibTrans" cxnId="{426B5A76-5161-C443-8077-06FE35542DB2}">
      <dgm:prSet/>
      <dgm:spPr/>
      <dgm:t>
        <a:bodyPr/>
        <a:lstStyle/>
        <a:p>
          <a:endParaRPr lang="en-US"/>
        </a:p>
      </dgm:t>
    </dgm:pt>
    <dgm:pt modelId="{46513A7F-4E9C-2944-966F-16CCF9F7ED4F}">
      <dgm:prSet phldrT="[Text]"/>
      <dgm:spPr/>
      <dgm:t>
        <a:bodyPr/>
        <a:lstStyle/>
        <a:p>
          <a:r>
            <a:rPr lang="en-US"/>
            <a:t>Về nhà máy, nhập kho</a:t>
          </a:r>
        </a:p>
      </dgm:t>
    </dgm:pt>
    <dgm:pt modelId="{FEBCD93D-A980-6C4C-A27C-039D25D953C9}" type="parTrans" cxnId="{714D6772-F3A5-6248-AC6E-C5CA86945E5C}">
      <dgm:prSet/>
      <dgm:spPr/>
      <dgm:t>
        <a:bodyPr/>
        <a:lstStyle/>
        <a:p>
          <a:endParaRPr lang="en-US"/>
        </a:p>
      </dgm:t>
    </dgm:pt>
    <dgm:pt modelId="{11A4C8F7-8E06-854D-AFD0-B0DD0A6191F4}" type="sibTrans" cxnId="{714D6772-F3A5-6248-AC6E-C5CA86945E5C}">
      <dgm:prSet/>
      <dgm:spPr/>
      <dgm:t>
        <a:bodyPr/>
        <a:lstStyle/>
        <a:p>
          <a:endParaRPr lang="en-US"/>
        </a:p>
      </dgm:t>
    </dgm:pt>
    <dgm:pt modelId="{5BCD7544-EFC8-9F4D-BB0B-BF818351FF4F}" type="pres">
      <dgm:prSet presAssocID="{DCB1C2D6-FA3B-124E-8D93-75E20451C4ED}" presName="Name0" presStyleCnt="0">
        <dgm:presLayoutVars>
          <dgm:dir/>
          <dgm:resizeHandles val="exact"/>
        </dgm:presLayoutVars>
      </dgm:prSet>
      <dgm:spPr/>
    </dgm:pt>
    <dgm:pt modelId="{26C5210E-8D92-4947-896F-F2CC59BFD97B}" type="pres">
      <dgm:prSet presAssocID="{899D02E1-A347-6143-AFFB-DF05CA789C4F}" presName="node" presStyleLbl="node1" presStyleIdx="0" presStyleCnt="6">
        <dgm:presLayoutVars>
          <dgm:bulletEnabled val="1"/>
        </dgm:presLayoutVars>
      </dgm:prSet>
      <dgm:spPr/>
    </dgm:pt>
    <dgm:pt modelId="{8062B386-8C3D-2F4F-A218-2188D1CF38CF}" type="pres">
      <dgm:prSet presAssocID="{E10AE7DE-687B-7D47-9564-C474C0E141C0}" presName="sibTrans" presStyleLbl="sibTrans2D1" presStyleIdx="0" presStyleCnt="5"/>
      <dgm:spPr/>
    </dgm:pt>
    <dgm:pt modelId="{9D976C23-FBC7-B04B-8E71-6F4A6841BAB2}" type="pres">
      <dgm:prSet presAssocID="{E10AE7DE-687B-7D47-9564-C474C0E141C0}" presName="connectorText" presStyleLbl="sibTrans2D1" presStyleIdx="0" presStyleCnt="5"/>
      <dgm:spPr/>
    </dgm:pt>
    <dgm:pt modelId="{60DFE083-9D4F-3649-9226-DB60AEB7D3F4}" type="pres">
      <dgm:prSet presAssocID="{B4680781-ABF3-8940-805C-7DA40D7F820D}" presName="node" presStyleLbl="node1" presStyleIdx="1" presStyleCnt="6">
        <dgm:presLayoutVars>
          <dgm:bulletEnabled val="1"/>
        </dgm:presLayoutVars>
      </dgm:prSet>
      <dgm:spPr/>
    </dgm:pt>
    <dgm:pt modelId="{36FE892C-F5A0-7A4F-97BB-D6C3F5675148}" type="pres">
      <dgm:prSet presAssocID="{45BDE350-2266-F846-8C2F-CF73BD4FFD2C}" presName="sibTrans" presStyleLbl="sibTrans2D1" presStyleIdx="1" presStyleCnt="5"/>
      <dgm:spPr/>
    </dgm:pt>
    <dgm:pt modelId="{4CDE8694-5FC5-9B42-8161-59BD1C290DAB}" type="pres">
      <dgm:prSet presAssocID="{45BDE350-2266-F846-8C2F-CF73BD4FFD2C}" presName="connectorText" presStyleLbl="sibTrans2D1" presStyleIdx="1" presStyleCnt="5"/>
      <dgm:spPr/>
    </dgm:pt>
    <dgm:pt modelId="{5CF8487C-D553-2547-AF5E-7287211CADB3}" type="pres">
      <dgm:prSet presAssocID="{6558C69F-E40C-1148-9D98-19FAD7A7D1A4}" presName="node" presStyleLbl="node1" presStyleIdx="2" presStyleCnt="6">
        <dgm:presLayoutVars>
          <dgm:bulletEnabled val="1"/>
        </dgm:presLayoutVars>
      </dgm:prSet>
      <dgm:spPr/>
    </dgm:pt>
    <dgm:pt modelId="{429049BB-878E-A74D-B6EE-B0D1DFCE6C79}" type="pres">
      <dgm:prSet presAssocID="{4AD9B1AE-788C-6447-8913-F02E1A4E28E9}" presName="sibTrans" presStyleLbl="sibTrans2D1" presStyleIdx="2" presStyleCnt="5"/>
      <dgm:spPr/>
    </dgm:pt>
    <dgm:pt modelId="{9C75D229-4DC5-284E-A0B4-F2303976EF1D}" type="pres">
      <dgm:prSet presAssocID="{4AD9B1AE-788C-6447-8913-F02E1A4E28E9}" presName="connectorText" presStyleLbl="sibTrans2D1" presStyleIdx="2" presStyleCnt="5"/>
      <dgm:spPr/>
    </dgm:pt>
    <dgm:pt modelId="{C79C2873-9FC7-9F46-A286-5E00229278FF}" type="pres">
      <dgm:prSet presAssocID="{AC153A2E-0ED6-2449-9C0E-8435B0174F91}" presName="node" presStyleLbl="node1" presStyleIdx="3" presStyleCnt="6">
        <dgm:presLayoutVars>
          <dgm:bulletEnabled val="1"/>
        </dgm:presLayoutVars>
      </dgm:prSet>
      <dgm:spPr/>
    </dgm:pt>
    <dgm:pt modelId="{EC3EB634-BD82-7541-A4AB-5435CAB31ACB}" type="pres">
      <dgm:prSet presAssocID="{09F49645-BAD3-AE48-8663-E3D91F86548D}" presName="sibTrans" presStyleLbl="sibTrans2D1" presStyleIdx="3" presStyleCnt="5"/>
      <dgm:spPr/>
    </dgm:pt>
    <dgm:pt modelId="{75B8F5D9-61AE-C949-B0D0-9A7830392B68}" type="pres">
      <dgm:prSet presAssocID="{09F49645-BAD3-AE48-8663-E3D91F86548D}" presName="connectorText" presStyleLbl="sibTrans2D1" presStyleIdx="3" presStyleCnt="5"/>
      <dgm:spPr/>
    </dgm:pt>
    <dgm:pt modelId="{2F9109A0-1AAA-0B4D-857B-8BC4A90F117B}" type="pres">
      <dgm:prSet presAssocID="{180CFF39-3CCC-3F44-8744-7C32B98A4BA2}" presName="node" presStyleLbl="node1" presStyleIdx="4" presStyleCnt="6">
        <dgm:presLayoutVars>
          <dgm:bulletEnabled val="1"/>
        </dgm:presLayoutVars>
      </dgm:prSet>
      <dgm:spPr/>
    </dgm:pt>
    <dgm:pt modelId="{3687B128-27DA-464E-995B-C83880FF774D}" type="pres">
      <dgm:prSet presAssocID="{515BF094-5A6E-7D40-A5F3-92A19C5AAA68}" presName="sibTrans" presStyleLbl="sibTrans2D1" presStyleIdx="4" presStyleCnt="5"/>
      <dgm:spPr/>
    </dgm:pt>
    <dgm:pt modelId="{B2B955B3-F983-A144-A252-1F06B83924D5}" type="pres">
      <dgm:prSet presAssocID="{515BF094-5A6E-7D40-A5F3-92A19C5AAA68}" presName="connectorText" presStyleLbl="sibTrans2D1" presStyleIdx="4" presStyleCnt="5"/>
      <dgm:spPr/>
    </dgm:pt>
    <dgm:pt modelId="{1ABAC7D9-AE9A-7443-BB64-C34640C951D8}" type="pres">
      <dgm:prSet presAssocID="{46513A7F-4E9C-2944-966F-16CCF9F7ED4F}" presName="node" presStyleLbl="node1" presStyleIdx="5" presStyleCnt="6">
        <dgm:presLayoutVars>
          <dgm:bulletEnabled val="1"/>
        </dgm:presLayoutVars>
      </dgm:prSet>
      <dgm:spPr/>
    </dgm:pt>
  </dgm:ptLst>
  <dgm:cxnLst>
    <dgm:cxn modelId="{BF4F2F07-A1F6-2545-8AA2-AA4EBF2DB3C1}" type="presOf" srcId="{DCB1C2D6-FA3B-124E-8D93-75E20451C4ED}" destId="{5BCD7544-EFC8-9F4D-BB0B-BF818351FF4F}" srcOrd="0" destOrd="0" presId="urn:microsoft.com/office/officeart/2005/8/layout/process1"/>
    <dgm:cxn modelId="{DA8BB818-55D4-9A4D-9764-A0FD492A6709}" type="presOf" srcId="{45BDE350-2266-F846-8C2F-CF73BD4FFD2C}" destId="{36FE892C-F5A0-7A4F-97BB-D6C3F5675148}" srcOrd="0" destOrd="0" presId="urn:microsoft.com/office/officeart/2005/8/layout/process1"/>
    <dgm:cxn modelId="{4C16F621-1F7D-9246-8388-A179F12A8C52}" type="presOf" srcId="{4AD9B1AE-788C-6447-8913-F02E1A4E28E9}" destId="{9C75D229-4DC5-284E-A0B4-F2303976EF1D}" srcOrd="1" destOrd="0" presId="urn:microsoft.com/office/officeart/2005/8/layout/process1"/>
    <dgm:cxn modelId="{D44D2723-1CD0-A041-B35E-E6B1B742876F}" type="presOf" srcId="{AC153A2E-0ED6-2449-9C0E-8435B0174F91}" destId="{C79C2873-9FC7-9F46-A286-5E00229278FF}" srcOrd="0" destOrd="0" presId="urn:microsoft.com/office/officeart/2005/8/layout/process1"/>
    <dgm:cxn modelId="{EEEBE932-C173-2443-9ECD-EC78A9CBE74B}" type="presOf" srcId="{6558C69F-E40C-1148-9D98-19FAD7A7D1A4}" destId="{5CF8487C-D553-2547-AF5E-7287211CADB3}" srcOrd="0" destOrd="0" presId="urn:microsoft.com/office/officeart/2005/8/layout/process1"/>
    <dgm:cxn modelId="{EEEF173D-45B5-3F42-BEF3-59D23BA6B721}" srcId="{DCB1C2D6-FA3B-124E-8D93-75E20451C4ED}" destId="{899D02E1-A347-6143-AFFB-DF05CA789C4F}" srcOrd="0" destOrd="0" parTransId="{A924AD87-31E8-A044-A1C6-8F02EEEB437D}" sibTransId="{E10AE7DE-687B-7D47-9564-C474C0E141C0}"/>
    <dgm:cxn modelId="{3F8BC041-AF06-6C48-A1F9-461D628B3A45}" type="presOf" srcId="{180CFF39-3CCC-3F44-8744-7C32B98A4BA2}" destId="{2F9109A0-1AAA-0B4D-857B-8BC4A90F117B}" srcOrd="0" destOrd="0" presId="urn:microsoft.com/office/officeart/2005/8/layout/process1"/>
    <dgm:cxn modelId="{8C3F3F46-8E1E-294F-AE7A-092E3BBE2F34}" type="presOf" srcId="{E10AE7DE-687B-7D47-9564-C474C0E141C0}" destId="{9D976C23-FBC7-B04B-8E71-6F4A6841BAB2}" srcOrd="1" destOrd="0" presId="urn:microsoft.com/office/officeart/2005/8/layout/process1"/>
    <dgm:cxn modelId="{FE993C4F-3C78-B343-8439-C4D031A3DAD7}" srcId="{DCB1C2D6-FA3B-124E-8D93-75E20451C4ED}" destId="{6558C69F-E40C-1148-9D98-19FAD7A7D1A4}" srcOrd="2" destOrd="0" parTransId="{2F828BB0-8855-FE48-8C39-073ECA64C8B8}" sibTransId="{4AD9B1AE-788C-6447-8913-F02E1A4E28E9}"/>
    <dgm:cxn modelId="{CBD74453-83D4-A943-ABC3-4DBD0B5B38A5}" type="presOf" srcId="{09F49645-BAD3-AE48-8663-E3D91F86548D}" destId="{EC3EB634-BD82-7541-A4AB-5435CAB31ACB}" srcOrd="0" destOrd="0" presId="urn:microsoft.com/office/officeart/2005/8/layout/process1"/>
    <dgm:cxn modelId="{A710775D-AE79-DE46-862C-FA6EAC1EE8FC}" type="presOf" srcId="{E10AE7DE-687B-7D47-9564-C474C0E141C0}" destId="{8062B386-8C3D-2F4F-A218-2188D1CF38CF}" srcOrd="0" destOrd="0" presId="urn:microsoft.com/office/officeart/2005/8/layout/process1"/>
    <dgm:cxn modelId="{E900BB60-A8BB-5A41-8BD8-024D67FF4CC2}" type="presOf" srcId="{515BF094-5A6E-7D40-A5F3-92A19C5AAA68}" destId="{B2B955B3-F983-A144-A252-1F06B83924D5}" srcOrd="1" destOrd="0" presId="urn:microsoft.com/office/officeart/2005/8/layout/process1"/>
    <dgm:cxn modelId="{28E0CF70-8327-7148-969E-483D0F8499D2}" type="presOf" srcId="{4AD9B1AE-788C-6447-8913-F02E1A4E28E9}" destId="{429049BB-878E-A74D-B6EE-B0D1DFCE6C79}" srcOrd="0" destOrd="0" presId="urn:microsoft.com/office/officeart/2005/8/layout/process1"/>
    <dgm:cxn modelId="{714D6772-F3A5-6248-AC6E-C5CA86945E5C}" srcId="{DCB1C2D6-FA3B-124E-8D93-75E20451C4ED}" destId="{46513A7F-4E9C-2944-966F-16CCF9F7ED4F}" srcOrd="5" destOrd="0" parTransId="{FEBCD93D-A980-6C4C-A27C-039D25D953C9}" sibTransId="{11A4C8F7-8E06-854D-AFD0-B0DD0A6191F4}"/>
    <dgm:cxn modelId="{426B5A76-5161-C443-8077-06FE35542DB2}" srcId="{DCB1C2D6-FA3B-124E-8D93-75E20451C4ED}" destId="{180CFF39-3CCC-3F44-8744-7C32B98A4BA2}" srcOrd="4" destOrd="0" parTransId="{8C21156E-32C8-7F4D-857B-A8789F43C267}" sibTransId="{515BF094-5A6E-7D40-A5F3-92A19C5AAA68}"/>
    <dgm:cxn modelId="{74A8BB88-1A8B-764F-8006-CD35FF4F3F63}" type="presOf" srcId="{45BDE350-2266-F846-8C2F-CF73BD4FFD2C}" destId="{4CDE8694-5FC5-9B42-8161-59BD1C290DAB}" srcOrd="1" destOrd="0" presId="urn:microsoft.com/office/officeart/2005/8/layout/process1"/>
    <dgm:cxn modelId="{A88470A0-66E7-1C4E-A00D-52ADF15617DC}" type="presOf" srcId="{B4680781-ABF3-8940-805C-7DA40D7F820D}" destId="{60DFE083-9D4F-3649-9226-DB60AEB7D3F4}" srcOrd="0" destOrd="0" presId="urn:microsoft.com/office/officeart/2005/8/layout/process1"/>
    <dgm:cxn modelId="{9BE3BDB6-3B99-7842-9497-E61CBA280A97}" type="presOf" srcId="{09F49645-BAD3-AE48-8663-E3D91F86548D}" destId="{75B8F5D9-61AE-C949-B0D0-9A7830392B68}" srcOrd="1" destOrd="0" presId="urn:microsoft.com/office/officeart/2005/8/layout/process1"/>
    <dgm:cxn modelId="{A0FCF6BB-7F13-D942-8165-1C82644B2659}" srcId="{DCB1C2D6-FA3B-124E-8D93-75E20451C4ED}" destId="{AC153A2E-0ED6-2449-9C0E-8435B0174F91}" srcOrd="3" destOrd="0" parTransId="{219B9418-8FDE-8041-9038-B003A0092A13}" sibTransId="{09F49645-BAD3-AE48-8663-E3D91F86548D}"/>
    <dgm:cxn modelId="{A645A9BD-B0E4-654C-9ED6-813B3ECD3F0F}" type="presOf" srcId="{515BF094-5A6E-7D40-A5F3-92A19C5AAA68}" destId="{3687B128-27DA-464E-995B-C83880FF774D}" srcOrd="0" destOrd="0" presId="urn:microsoft.com/office/officeart/2005/8/layout/process1"/>
    <dgm:cxn modelId="{8DA899C7-3C98-0B43-BC53-CADA4E919A91}" type="presOf" srcId="{46513A7F-4E9C-2944-966F-16CCF9F7ED4F}" destId="{1ABAC7D9-AE9A-7443-BB64-C34640C951D8}" srcOrd="0" destOrd="0" presId="urn:microsoft.com/office/officeart/2005/8/layout/process1"/>
    <dgm:cxn modelId="{4F56E8E8-43EE-444A-A7DC-3B027CAA09FA}" type="presOf" srcId="{899D02E1-A347-6143-AFFB-DF05CA789C4F}" destId="{26C5210E-8D92-4947-896F-F2CC59BFD97B}" srcOrd="0" destOrd="0" presId="urn:microsoft.com/office/officeart/2005/8/layout/process1"/>
    <dgm:cxn modelId="{671E77F6-7411-EC42-AF6C-67507CEDC34C}" srcId="{DCB1C2D6-FA3B-124E-8D93-75E20451C4ED}" destId="{B4680781-ABF3-8940-805C-7DA40D7F820D}" srcOrd="1" destOrd="0" parTransId="{A7FD2EEC-DDE9-9644-B948-FFBD18B39931}" sibTransId="{45BDE350-2266-F846-8C2F-CF73BD4FFD2C}"/>
    <dgm:cxn modelId="{78C2C358-53A9-DE4D-AC12-31B1907B8D1A}" type="presParOf" srcId="{5BCD7544-EFC8-9F4D-BB0B-BF818351FF4F}" destId="{26C5210E-8D92-4947-896F-F2CC59BFD97B}" srcOrd="0" destOrd="0" presId="urn:microsoft.com/office/officeart/2005/8/layout/process1"/>
    <dgm:cxn modelId="{2C338F17-A5FD-D340-BB6D-4CF06A6111CC}" type="presParOf" srcId="{5BCD7544-EFC8-9F4D-BB0B-BF818351FF4F}" destId="{8062B386-8C3D-2F4F-A218-2188D1CF38CF}" srcOrd="1" destOrd="0" presId="urn:microsoft.com/office/officeart/2005/8/layout/process1"/>
    <dgm:cxn modelId="{07B31DB5-B153-154B-A6F2-03218A340053}" type="presParOf" srcId="{8062B386-8C3D-2F4F-A218-2188D1CF38CF}" destId="{9D976C23-FBC7-B04B-8E71-6F4A6841BAB2}" srcOrd="0" destOrd="0" presId="urn:microsoft.com/office/officeart/2005/8/layout/process1"/>
    <dgm:cxn modelId="{34937B26-D25C-9040-9419-157BE6DD0AF5}" type="presParOf" srcId="{5BCD7544-EFC8-9F4D-BB0B-BF818351FF4F}" destId="{60DFE083-9D4F-3649-9226-DB60AEB7D3F4}" srcOrd="2" destOrd="0" presId="urn:microsoft.com/office/officeart/2005/8/layout/process1"/>
    <dgm:cxn modelId="{8B5A7DEB-5B38-1843-8305-E3FBBDF76ED9}" type="presParOf" srcId="{5BCD7544-EFC8-9F4D-BB0B-BF818351FF4F}" destId="{36FE892C-F5A0-7A4F-97BB-D6C3F5675148}" srcOrd="3" destOrd="0" presId="urn:microsoft.com/office/officeart/2005/8/layout/process1"/>
    <dgm:cxn modelId="{327CD2DD-1650-C24E-8C59-D8468FB73D1D}" type="presParOf" srcId="{36FE892C-F5A0-7A4F-97BB-D6C3F5675148}" destId="{4CDE8694-5FC5-9B42-8161-59BD1C290DAB}" srcOrd="0" destOrd="0" presId="urn:microsoft.com/office/officeart/2005/8/layout/process1"/>
    <dgm:cxn modelId="{16D8FDC5-BFA0-6F4D-A4AF-4205A202F780}" type="presParOf" srcId="{5BCD7544-EFC8-9F4D-BB0B-BF818351FF4F}" destId="{5CF8487C-D553-2547-AF5E-7287211CADB3}" srcOrd="4" destOrd="0" presId="urn:microsoft.com/office/officeart/2005/8/layout/process1"/>
    <dgm:cxn modelId="{50FE7156-89E1-6B46-B364-C1162E94E954}" type="presParOf" srcId="{5BCD7544-EFC8-9F4D-BB0B-BF818351FF4F}" destId="{429049BB-878E-A74D-B6EE-B0D1DFCE6C79}" srcOrd="5" destOrd="0" presId="urn:microsoft.com/office/officeart/2005/8/layout/process1"/>
    <dgm:cxn modelId="{E810396E-3975-8448-A5B7-04006E964498}" type="presParOf" srcId="{429049BB-878E-A74D-B6EE-B0D1DFCE6C79}" destId="{9C75D229-4DC5-284E-A0B4-F2303976EF1D}" srcOrd="0" destOrd="0" presId="urn:microsoft.com/office/officeart/2005/8/layout/process1"/>
    <dgm:cxn modelId="{572E1F8B-C8C0-B449-90B1-9A4EAD0E941C}" type="presParOf" srcId="{5BCD7544-EFC8-9F4D-BB0B-BF818351FF4F}" destId="{C79C2873-9FC7-9F46-A286-5E00229278FF}" srcOrd="6" destOrd="0" presId="urn:microsoft.com/office/officeart/2005/8/layout/process1"/>
    <dgm:cxn modelId="{48D492BB-39CA-664D-BE99-1F0E08FE828C}" type="presParOf" srcId="{5BCD7544-EFC8-9F4D-BB0B-BF818351FF4F}" destId="{EC3EB634-BD82-7541-A4AB-5435CAB31ACB}" srcOrd="7" destOrd="0" presId="urn:microsoft.com/office/officeart/2005/8/layout/process1"/>
    <dgm:cxn modelId="{8FACAC12-A245-2F40-B93F-8168F714B56D}" type="presParOf" srcId="{EC3EB634-BD82-7541-A4AB-5435CAB31ACB}" destId="{75B8F5D9-61AE-C949-B0D0-9A7830392B68}" srcOrd="0" destOrd="0" presId="urn:microsoft.com/office/officeart/2005/8/layout/process1"/>
    <dgm:cxn modelId="{61094982-0453-6B4E-9DF9-C41D8ECDDC1D}" type="presParOf" srcId="{5BCD7544-EFC8-9F4D-BB0B-BF818351FF4F}" destId="{2F9109A0-1AAA-0B4D-857B-8BC4A90F117B}" srcOrd="8" destOrd="0" presId="urn:microsoft.com/office/officeart/2005/8/layout/process1"/>
    <dgm:cxn modelId="{F6C0E9CD-3DAF-1E49-B186-C04DFFECE54A}" type="presParOf" srcId="{5BCD7544-EFC8-9F4D-BB0B-BF818351FF4F}" destId="{3687B128-27DA-464E-995B-C83880FF774D}" srcOrd="9" destOrd="0" presId="urn:microsoft.com/office/officeart/2005/8/layout/process1"/>
    <dgm:cxn modelId="{D0D09CF5-E80F-CD40-A3EE-B9EF2B2EBA2F}" type="presParOf" srcId="{3687B128-27DA-464E-995B-C83880FF774D}" destId="{B2B955B3-F983-A144-A252-1F06B83924D5}" srcOrd="0" destOrd="0" presId="urn:microsoft.com/office/officeart/2005/8/layout/process1"/>
    <dgm:cxn modelId="{B7C476D2-E111-B94F-AFF2-2E08D7884905}" type="presParOf" srcId="{5BCD7544-EFC8-9F4D-BB0B-BF818351FF4F}" destId="{1ABAC7D9-AE9A-7443-BB64-C34640C951D8}" srcOrd="10" destOrd="0" presId="urn:microsoft.com/office/officeart/2005/8/layout/process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A08E3FA2-BAB8-4747-8495-C8E72FCD3220}" type="doc">
      <dgm:prSet loTypeId="urn:microsoft.com/office/officeart/2005/8/layout/process1" loCatId="" qsTypeId="urn:microsoft.com/office/officeart/2005/8/quickstyle/simple1" qsCatId="simple" csTypeId="urn:microsoft.com/office/officeart/2005/8/colors/accent1_2" csCatId="accent1" phldr="1"/>
      <dgm:spPr/>
    </dgm:pt>
    <dgm:pt modelId="{F8CCF7D4-0E73-2447-8EBF-5E1D3C3ED4DC}">
      <dgm:prSet phldrT="[Text]"/>
      <dgm:spPr/>
      <dgm:t>
        <a:bodyPr/>
        <a:lstStyle/>
        <a:p>
          <a:r>
            <a:rPr lang="en-US"/>
            <a:t>Xuất kho sản xuất</a:t>
          </a:r>
        </a:p>
      </dgm:t>
    </dgm:pt>
    <dgm:pt modelId="{759510E3-5F79-C54C-A855-E48E36A5E41B}" type="parTrans" cxnId="{2450AA8A-0746-BF4A-92B8-13838FF5A6EA}">
      <dgm:prSet/>
      <dgm:spPr/>
      <dgm:t>
        <a:bodyPr/>
        <a:lstStyle/>
        <a:p>
          <a:endParaRPr lang="en-US"/>
        </a:p>
      </dgm:t>
    </dgm:pt>
    <dgm:pt modelId="{F8A7FA60-9D50-D745-9344-43783001D07B}" type="sibTrans" cxnId="{2450AA8A-0746-BF4A-92B8-13838FF5A6EA}">
      <dgm:prSet/>
      <dgm:spPr/>
      <dgm:t>
        <a:bodyPr/>
        <a:lstStyle/>
        <a:p>
          <a:endParaRPr lang="en-US"/>
        </a:p>
      </dgm:t>
    </dgm:pt>
    <dgm:pt modelId="{E6615AEB-D251-314A-988C-C1F80A77E46E}">
      <dgm:prSet phldrT="[Text]"/>
      <dgm:spPr/>
      <dgm:t>
        <a:bodyPr/>
        <a:lstStyle/>
        <a:p>
          <a:r>
            <a:rPr lang="en-US"/>
            <a:t>Thống kê lượng hàng thu được</a:t>
          </a:r>
        </a:p>
      </dgm:t>
    </dgm:pt>
    <dgm:pt modelId="{03983A1E-1DF8-F643-BDE9-4E25969AEB37}" type="parTrans" cxnId="{48286E37-E801-234D-94B1-F2D1594F1411}">
      <dgm:prSet/>
      <dgm:spPr/>
      <dgm:t>
        <a:bodyPr/>
        <a:lstStyle/>
        <a:p>
          <a:endParaRPr lang="en-US"/>
        </a:p>
      </dgm:t>
    </dgm:pt>
    <dgm:pt modelId="{5E66CD62-54FE-6645-B7C0-A4CA4F231E1E}" type="sibTrans" cxnId="{48286E37-E801-234D-94B1-F2D1594F1411}">
      <dgm:prSet/>
      <dgm:spPr/>
      <dgm:t>
        <a:bodyPr/>
        <a:lstStyle/>
        <a:p>
          <a:endParaRPr lang="en-US"/>
        </a:p>
      </dgm:t>
    </dgm:pt>
    <dgm:pt modelId="{4CB1EBC7-AFE6-1B4C-8EC5-1703707395B3}">
      <dgm:prSet phldrT="[Text]"/>
      <dgm:spPr/>
      <dgm:t>
        <a:bodyPr/>
        <a:lstStyle/>
        <a:p>
          <a:r>
            <a:rPr lang="en-US"/>
            <a:t>Tính giá, phân tích lãi lỗ</a:t>
          </a:r>
        </a:p>
      </dgm:t>
    </dgm:pt>
    <dgm:pt modelId="{A051C19D-4BCC-B64C-8EE9-7C14939C0013}" type="parTrans" cxnId="{EAB521EB-1592-6E4B-8F79-311968ACB067}">
      <dgm:prSet/>
      <dgm:spPr/>
      <dgm:t>
        <a:bodyPr/>
        <a:lstStyle/>
        <a:p>
          <a:endParaRPr lang="en-US"/>
        </a:p>
      </dgm:t>
    </dgm:pt>
    <dgm:pt modelId="{77978282-D808-E144-B144-0A30A6EA320A}" type="sibTrans" cxnId="{EAB521EB-1592-6E4B-8F79-311968ACB067}">
      <dgm:prSet/>
      <dgm:spPr/>
      <dgm:t>
        <a:bodyPr/>
        <a:lstStyle/>
        <a:p>
          <a:endParaRPr lang="en-US"/>
        </a:p>
      </dgm:t>
    </dgm:pt>
    <dgm:pt modelId="{047375E8-E11B-8847-B900-28125F7B9F39}">
      <dgm:prSet phldrT="[Text]"/>
      <dgm:spPr/>
      <dgm:t>
        <a:bodyPr/>
        <a:lstStyle/>
        <a:p>
          <a:r>
            <a:rPr lang="en-US"/>
            <a:t>Nhận đơn hàng, dùng bán thành phẩm để sử dụng làm thành phẩm xuất khẩu</a:t>
          </a:r>
        </a:p>
      </dgm:t>
    </dgm:pt>
    <dgm:pt modelId="{5B5F960F-2362-6741-8237-4FF27546BB32}" type="parTrans" cxnId="{EA664D6B-1396-D742-A831-25FD3168FABB}">
      <dgm:prSet/>
      <dgm:spPr/>
      <dgm:t>
        <a:bodyPr/>
        <a:lstStyle/>
        <a:p>
          <a:endParaRPr lang="en-US"/>
        </a:p>
      </dgm:t>
    </dgm:pt>
    <dgm:pt modelId="{A0BFFDEC-CE9C-2F4A-A131-447105853A9D}" type="sibTrans" cxnId="{EA664D6B-1396-D742-A831-25FD3168FABB}">
      <dgm:prSet/>
      <dgm:spPr/>
      <dgm:t>
        <a:bodyPr/>
        <a:lstStyle/>
        <a:p>
          <a:endParaRPr lang="en-US"/>
        </a:p>
      </dgm:t>
    </dgm:pt>
    <dgm:pt modelId="{1B4BCAC4-32B1-D24F-BA18-E9BD3F3B12CA}">
      <dgm:prSet phldrT="[Text]"/>
      <dgm:spPr/>
      <dgm:t>
        <a:bodyPr/>
        <a:lstStyle/>
        <a:p>
          <a:r>
            <a:rPr lang="en-US"/>
            <a:t>Làm ra bán thành phẩm (nhập kho, chờ khi nào có đơn sẽ lấy ra sử dụng)</a:t>
          </a:r>
        </a:p>
      </dgm:t>
    </dgm:pt>
    <dgm:pt modelId="{12D90702-2196-814C-A54C-C6EFACA52C39}" type="parTrans" cxnId="{EF041712-A4A5-2045-9B4B-2D4E02CADE36}">
      <dgm:prSet/>
      <dgm:spPr/>
      <dgm:t>
        <a:bodyPr/>
        <a:lstStyle/>
        <a:p>
          <a:endParaRPr lang="en-US"/>
        </a:p>
      </dgm:t>
    </dgm:pt>
    <dgm:pt modelId="{4E2ECC92-CA19-BA4B-A4B3-27A2802DF6A8}" type="sibTrans" cxnId="{EF041712-A4A5-2045-9B4B-2D4E02CADE36}">
      <dgm:prSet/>
      <dgm:spPr/>
      <dgm:t>
        <a:bodyPr/>
        <a:lstStyle/>
        <a:p>
          <a:endParaRPr lang="en-US"/>
        </a:p>
      </dgm:t>
    </dgm:pt>
    <dgm:pt modelId="{CC34AF20-57E6-814E-A68C-6BC636655583}">
      <dgm:prSet phldrT="[Text]"/>
      <dgm:spPr/>
      <dgm:t>
        <a:bodyPr/>
        <a:lstStyle/>
        <a:p>
          <a:r>
            <a:rPr lang="en-US"/>
            <a:t>Xuất hàng xuất khẩu </a:t>
          </a:r>
        </a:p>
      </dgm:t>
    </dgm:pt>
    <dgm:pt modelId="{17EEC631-EA83-334B-BB7E-F81E32CD82B2}" type="parTrans" cxnId="{8A09B1F9-80DE-DF4D-8246-FE48715C0B57}">
      <dgm:prSet/>
      <dgm:spPr/>
      <dgm:t>
        <a:bodyPr/>
        <a:lstStyle/>
        <a:p>
          <a:endParaRPr lang="en-US"/>
        </a:p>
      </dgm:t>
    </dgm:pt>
    <dgm:pt modelId="{7D41C65E-A7CF-8841-B015-449FD4D7542B}" type="sibTrans" cxnId="{8A09B1F9-80DE-DF4D-8246-FE48715C0B57}">
      <dgm:prSet/>
      <dgm:spPr/>
      <dgm:t>
        <a:bodyPr/>
        <a:lstStyle/>
        <a:p>
          <a:endParaRPr lang="en-US"/>
        </a:p>
      </dgm:t>
    </dgm:pt>
    <dgm:pt modelId="{E9946B2D-FB58-BC48-8176-8B3B3EB1542C}" type="pres">
      <dgm:prSet presAssocID="{A08E3FA2-BAB8-4747-8495-C8E72FCD3220}" presName="Name0" presStyleCnt="0">
        <dgm:presLayoutVars>
          <dgm:dir/>
          <dgm:resizeHandles val="exact"/>
        </dgm:presLayoutVars>
      </dgm:prSet>
      <dgm:spPr/>
    </dgm:pt>
    <dgm:pt modelId="{0730EB18-F8F6-CC43-8756-B56A55AF3ECC}" type="pres">
      <dgm:prSet presAssocID="{F8CCF7D4-0E73-2447-8EBF-5E1D3C3ED4DC}" presName="node" presStyleLbl="node1" presStyleIdx="0" presStyleCnt="6">
        <dgm:presLayoutVars>
          <dgm:bulletEnabled val="1"/>
        </dgm:presLayoutVars>
      </dgm:prSet>
      <dgm:spPr/>
    </dgm:pt>
    <dgm:pt modelId="{49CD1287-F73D-AC4D-89D5-770DD84417AD}" type="pres">
      <dgm:prSet presAssocID="{F8A7FA60-9D50-D745-9344-43783001D07B}" presName="sibTrans" presStyleLbl="sibTrans2D1" presStyleIdx="0" presStyleCnt="5"/>
      <dgm:spPr/>
    </dgm:pt>
    <dgm:pt modelId="{9737709D-1708-8D4D-98B7-D32506E93B22}" type="pres">
      <dgm:prSet presAssocID="{F8A7FA60-9D50-D745-9344-43783001D07B}" presName="connectorText" presStyleLbl="sibTrans2D1" presStyleIdx="0" presStyleCnt="5"/>
      <dgm:spPr/>
    </dgm:pt>
    <dgm:pt modelId="{24449856-3284-1D4E-A504-393F02775E30}" type="pres">
      <dgm:prSet presAssocID="{1B4BCAC4-32B1-D24F-BA18-E9BD3F3B12CA}" presName="node" presStyleLbl="node1" presStyleIdx="1" presStyleCnt="6">
        <dgm:presLayoutVars>
          <dgm:bulletEnabled val="1"/>
        </dgm:presLayoutVars>
      </dgm:prSet>
      <dgm:spPr/>
    </dgm:pt>
    <dgm:pt modelId="{E43DDABB-0D16-1940-850A-98836AA88638}" type="pres">
      <dgm:prSet presAssocID="{4E2ECC92-CA19-BA4B-A4B3-27A2802DF6A8}" presName="sibTrans" presStyleLbl="sibTrans2D1" presStyleIdx="1" presStyleCnt="5"/>
      <dgm:spPr/>
    </dgm:pt>
    <dgm:pt modelId="{5FD1C36F-4053-604E-BB7D-8CC5B1E05303}" type="pres">
      <dgm:prSet presAssocID="{4E2ECC92-CA19-BA4B-A4B3-27A2802DF6A8}" presName="connectorText" presStyleLbl="sibTrans2D1" presStyleIdx="1" presStyleCnt="5"/>
      <dgm:spPr/>
    </dgm:pt>
    <dgm:pt modelId="{52E52A17-774B-CA49-A618-A47E0EF321E9}" type="pres">
      <dgm:prSet presAssocID="{E6615AEB-D251-314A-988C-C1F80A77E46E}" presName="node" presStyleLbl="node1" presStyleIdx="2" presStyleCnt="6">
        <dgm:presLayoutVars>
          <dgm:bulletEnabled val="1"/>
        </dgm:presLayoutVars>
      </dgm:prSet>
      <dgm:spPr/>
    </dgm:pt>
    <dgm:pt modelId="{67A92BF5-22AF-3648-B0DB-4BE6F14D3124}" type="pres">
      <dgm:prSet presAssocID="{5E66CD62-54FE-6645-B7C0-A4CA4F231E1E}" presName="sibTrans" presStyleLbl="sibTrans2D1" presStyleIdx="2" presStyleCnt="5"/>
      <dgm:spPr/>
    </dgm:pt>
    <dgm:pt modelId="{01917EA0-5748-3840-8876-EE4DBACF5F98}" type="pres">
      <dgm:prSet presAssocID="{5E66CD62-54FE-6645-B7C0-A4CA4F231E1E}" presName="connectorText" presStyleLbl="sibTrans2D1" presStyleIdx="2" presStyleCnt="5"/>
      <dgm:spPr/>
    </dgm:pt>
    <dgm:pt modelId="{9D4D9A7D-5776-3049-957A-C5109191A787}" type="pres">
      <dgm:prSet presAssocID="{4CB1EBC7-AFE6-1B4C-8EC5-1703707395B3}" presName="node" presStyleLbl="node1" presStyleIdx="3" presStyleCnt="6">
        <dgm:presLayoutVars>
          <dgm:bulletEnabled val="1"/>
        </dgm:presLayoutVars>
      </dgm:prSet>
      <dgm:spPr/>
    </dgm:pt>
    <dgm:pt modelId="{C51B4593-44C2-8445-9BE7-F1719FF5E9C3}" type="pres">
      <dgm:prSet presAssocID="{77978282-D808-E144-B144-0A30A6EA320A}" presName="sibTrans" presStyleLbl="sibTrans2D1" presStyleIdx="3" presStyleCnt="5"/>
      <dgm:spPr/>
    </dgm:pt>
    <dgm:pt modelId="{7707A236-440F-D24E-B22B-2BE447A4A344}" type="pres">
      <dgm:prSet presAssocID="{77978282-D808-E144-B144-0A30A6EA320A}" presName="connectorText" presStyleLbl="sibTrans2D1" presStyleIdx="3" presStyleCnt="5"/>
      <dgm:spPr/>
    </dgm:pt>
    <dgm:pt modelId="{3B7ED829-B887-3845-A01B-C1AB751FF8FA}" type="pres">
      <dgm:prSet presAssocID="{047375E8-E11B-8847-B900-28125F7B9F39}" presName="node" presStyleLbl="node1" presStyleIdx="4" presStyleCnt="6">
        <dgm:presLayoutVars>
          <dgm:bulletEnabled val="1"/>
        </dgm:presLayoutVars>
      </dgm:prSet>
      <dgm:spPr/>
    </dgm:pt>
    <dgm:pt modelId="{34CED67F-1EB4-0244-B1CD-2406100FA588}" type="pres">
      <dgm:prSet presAssocID="{A0BFFDEC-CE9C-2F4A-A131-447105853A9D}" presName="sibTrans" presStyleLbl="sibTrans2D1" presStyleIdx="4" presStyleCnt="5"/>
      <dgm:spPr/>
    </dgm:pt>
    <dgm:pt modelId="{221EC995-835A-4A4C-B86F-AC3BFF5C99EA}" type="pres">
      <dgm:prSet presAssocID="{A0BFFDEC-CE9C-2F4A-A131-447105853A9D}" presName="connectorText" presStyleLbl="sibTrans2D1" presStyleIdx="4" presStyleCnt="5"/>
      <dgm:spPr/>
    </dgm:pt>
    <dgm:pt modelId="{8D7FA429-CECE-C845-A69A-FBBC54987D12}" type="pres">
      <dgm:prSet presAssocID="{CC34AF20-57E6-814E-A68C-6BC636655583}" presName="node" presStyleLbl="node1" presStyleIdx="5" presStyleCnt="6">
        <dgm:presLayoutVars>
          <dgm:bulletEnabled val="1"/>
        </dgm:presLayoutVars>
      </dgm:prSet>
      <dgm:spPr/>
    </dgm:pt>
  </dgm:ptLst>
  <dgm:cxnLst>
    <dgm:cxn modelId="{EF041712-A4A5-2045-9B4B-2D4E02CADE36}" srcId="{A08E3FA2-BAB8-4747-8495-C8E72FCD3220}" destId="{1B4BCAC4-32B1-D24F-BA18-E9BD3F3B12CA}" srcOrd="1" destOrd="0" parTransId="{12D90702-2196-814C-A54C-C6EFACA52C39}" sibTransId="{4E2ECC92-CA19-BA4B-A4B3-27A2802DF6A8}"/>
    <dgm:cxn modelId="{57124629-DD29-E144-8D4E-40DD6A2846B2}" type="presOf" srcId="{CC34AF20-57E6-814E-A68C-6BC636655583}" destId="{8D7FA429-CECE-C845-A69A-FBBC54987D12}" srcOrd="0" destOrd="0" presId="urn:microsoft.com/office/officeart/2005/8/layout/process1"/>
    <dgm:cxn modelId="{48286E37-E801-234D-94B1-F2D1594F1411}" srcId="{A08E3FA2-BAB8-4747-8495-C8E72FCD3220}" destId="{E6615AEB-D251-314A-988C-C1F80A77E46E}" srcOrd="2" destOrd="0" parTransId="{03983A1E-1DF8-F643-BDE9-4E25969AEB37}" sibTransId="{5E66CD62-54FE-6645-B7C0-A4CA4F231E1E}"/>
    <dgm:cxn modelId="{93072138-0319-5344-BC1F-46CBA3750C70}" type="presOf" srcId="{4E2ECC92-CA19-BA4B-A4B3-27A2802DF6A8}" destId="{E43DDABB-0D16-1940-850A-98836AA88638}" srcOrd="0" destOrd="0" presId="urn:microsoft.com/office/officeart/2005/8/layout/process1"/>
    <dgm:cxn modelId="{EEE80C49-8714-0445-AB2C-AF40B090D4E4}" type="presOf" srcId="{77978282-D808-E144-B144-0A30A6EA320A}" destId="{7707A236-440F-D24E-B22B-2BE447A4A344}" srcOrd="1" destOrd="0" presId="urn:microsoft.com/office/officeart/2005/8/layout/process1"/>
    <dgm:cxn modelId="{5991E162-BA15-7C42-9DBF-66AFC0FCE98E}" type="presOf" srcId="{F8A7FA60-9D50-D745-9344-43783001D07B}" destId="{9737709D-1708-8D4D-98B7-D32506E93B22}" srcOrd="1" destOrd="0" presId="urn:microsoft.com/office/officeart/2005/8/layout/process1"/>
    <dgm:cxn modelId="{EA664D6B-1396-D742-A831-25FD3168FABB}" srcId="{A08E3FA2-BAB8-4747-8495-C8E72FCD3220}" destId="{047375E8-E11B-8847-B900-28125F7B9F39}" srcOrd="4" destOrd="0" parTransId="{5B5F960F-2362-6741-8237-4FF27546BB32}" sibTransId="{A0BFFDEC-CE9C-2F4A-A131-447105853A9D}"/>
    <dgm:cxn modelId="{03B8A570-8D22-CE45-8F2D-985DC87742D6}" type="presOf" srcId="{4CB1EBC7-AFE6-1B4C-8EC5-1703707395B3}" destId="{9D4D9A7D-5776-3049-957A-C5109191A787}" srcOrd="0" destOrd="0" presId="urn:microsoft.com/office/officeart/2005/8/layout/process1"/>
    <dgm:cxn modelId="{DAF9D176-165B-1548-913F-8E8653707F29}" type="presOf" srcId="{A08E3FA2-BAB8-4747-8495-C8E72FCD3220}" destId="{E9946B2D-FB58-BC48-8176-8B3B3EB1542C}" srcOrd="0" destOrd="0" presId="urn:microsoft.com/office/officeart/2005/8/layout/process1"/>
    <dgm:cxn modelId="{FE944A8A-3A61-EF4D-ADF6-12DEBCEDD530}" type="presOf" srcId="{5E66CD62-54FE-6645-B7C0-A4CA4F231E1E}" destId="{67A92BF5-22AF-3648-B0DB-4BE6F14D3124}" srcOrd="0" destOrd="0" presId="urn:microsoft.com/office/officeart/2005/8/layout/process1"/>
    <dgm:cxn modelId="{2450AA8A-0746-BF4A-92B8-13838FF5A6EA}" srcId="{A08E3FA2-BAB8-4747-8495-C8E72FCD3220}" destId="{F8CCF7D4-0E73-2447-8EBF-5E1D3C3ED4DC}" srcOrd="0" destOrd="0" parTransId="{759510E3-5F79-C54C-A855-E48E36A5E41B}" sibTransId="{F8A7FA60-9D50-D745-9344-43783001D07B}"/>
    <dgm:cxn modelId="{5162AE93-5E8B-6046-8209-D8E77CC2AFBA}" type="presOf" srcId="{F8A7FA60-9D50-D745-9344-43783001D07B}" destId="{49CD1287-F73D-AC4D-89D5-770DD84417AD}" srcOrd="0" destOrd="0" presId="urn:microsoft.com/office/officeart/2005/8/layout/process1"/>
    <dgm:cxn modelId="{F2F5599B-3072-C342-B389-EDB6B4B9E286}" type="presOf" srcId="{77978282-D808-E144-B144-0A30A6EA320A}" destId="{C51B4593-44C2-8445-9BE7-F1719FF5E9C3}" srcOrd="0" destOrd="0" presId="urn:microsoft.com/office/officeart/2005/8/layout/process1"/>
    <dgm:cxn modelId="{A08C66A4-10FA-264A-9C9E-C5804033F685}" type="presOf" srcId="{1B4BCAC4-32B1-D24F-BA18-E9BD3F3B12CA}" destId="{24449856-3284-1D4E-A504-393F02775E30}" srcOrd="0" destOrd="0" presId="urn:microsoft.com/office/officeart/2005/8/layout/process1"/>
    <dgm:cxn modelId="{EF056CCA-994C-8E4C-94A6-C0313306E56B}" type="presOf" srcId="{5E66CD62-54FE-6645-B7C0-A4CA4F231E1E}" destId="{01917EA0-5748-3840-8876-EE4DBACF5F98}" srcOrd="1" destOrd="0" presId="urn:microsoft.com/office/officeart/2005/8/layout/process1"/>
    <dgm:cxn modelId="{90EEB5CB-B488-5546-93EE-5F0B117923E3}" type="presOf" srcId="{E6615AEB-D251-314A-988C-C1F80A77E46E}" destId="{52E52A17-774B-CA49-A618-A47E0EF321E9}" srcOrd="0" destOrd="0" presId="urn:microsoft.com/office/officeart/2005/8/layout/process1"/>
    <dgm:cxn modelId="{FCE2D4D0-71DC-934D-8A7E-4984D68FCF18}" type="presOf" srcId="{A0BFFDEC-CE9C-2F4A-A131-447105853A9D}" destId="{34CED67F-1EB4-0244-B1CD-2406100FA588}" srcOrd="0" destOrd="0" presId="urn:microsoft.com/office/officeart/2005/8/layout/process1"/>
    <dgm:cxn modelId="{5BB6CAD2-F0CC-8F4B-81FB-7A5A9BB79240}" type="presOf" srcId="{4E2ECC92-CA19-BA4B-A4B3-27A2802DF6A8}" destId="{5FD1C36F-4053-604E-BB7D-8CC5B1E05303}" srcOrd="1" destOrd="0" presId="urn:microsoft.com/office/officeart/2005/8/layout/process1"/>
    <dgm:cxn modelId="{827E9AD8-21C4-654A-8728-F1BFAB53BEC9}" type="presOf" srcId="{047375E8-E11B-8847-B900-28125F7B9F39}" destId="{3B7ED829-B887-3845-A01B-C1AB751FF8FA}" srcOrd="0" destOrd="0" presId="urn:microsoft.com/office/officeart/2005/8/layout/process1"/>
    <dgm:cxn modelId="{EAB521EB-1592-6E4B-8F79-311968ACB067}" srcId="{A08E3FA2-BAB8-4747-8495-C8E72FCD3220}" destId="{4CB1EBC7-AFE6-1B4C-8EC5-1703707395B3}" srcOrd="3" destOrd="0" parTransId="{A051C19D-4BCC-B64C-8EE9-7C14939C0013}" sibTransId="{77978282-D808-E144-B144-0A30A6EA320A}"/>
    <dgm:cxn modelId="{089BD2F6-EFF1-8C4C-BC89-3E05DEECD277}" type="presOf" srcId="{A0BFFDEC-CE9C-2F4A-A131-447105853A9D}" destId="{221EC995-835A-4A4C-B86F-AC3BFF5C99EA}" srcOrd="1" destOrd="0" presId="urn:microsoft.com/office/officeart/2005/8/layout/process1"/>
    <dgm:cxn modelId="{8A09B1F9-80DE-DF4D-8246-FE48715C0B57}" srcId="{A08E3FA2-BAB8-4747-8495-C8E72FCD3220}" destId="{CC34AF20-57E6-814E-A68C-6BC636655583}" srcOrd="5" destOrd="0" parTransId="{17EEC631-EA83-334B-BB7E-F81E32CD82B2}" sibTransId="{7D41C65E-A7CF-8841-B015-449FD4D7542B}"/>
    <dgm:cxn modelId="{FA1E2EFB-E6EC-3D42-B75F-3980DA340257}" type="presOf" srcId="{F8CCF7D4-0E73-2447-8EBF-5E1D3C3ED4DC}" destId="{0730EB18-F8F6-CC43-8756-B56A55AF3ECC}" srcOrd="0" destOrd="0" presId="urn:microsoft.com/office/officeart/2005/8/layout/process1"/>
    <dgm:cxn modelId="{3A124A64-795A-0E4E-BC8C-2A98348DAC15}" type="presParOf" srcId="{E9946B2D-FB58-BC48-8176-8B3B3EB1542C}" destId="{0730EB18-F8F6-CC43-8756-B56A55AF3ECC}" srcOrd="0" destOrd="0" presId="urn:microsoft.com/office/officeart/2005/8/layout/process1"/>
    <dgm:cxn modelId="{4472E35C-3C77-0B4E-9391-7B09766BC6AF}" type="presParOf" srcId="{E9946B2D-FB58-BC48-8176-8B3B3EB1542C}" destId="{49CD1287-F73D-AC4D-89D5-770DD84417AD}" srcOrd="1" destOrd="0" presId="urn:microsoft.com/office/officeart/2005/8/layout/process1"/>
    <dgm:cxn modelId="{4BF6790F-8D59-524F-9213-58994A2D3082}" type="presParOf" srcId="{49CD1287-F73D-AC4D-89D5-770DD84417AD}" destId="{9737709D-1708-8D4D-98B7-D32506E93B22}" srcOrd="0" destOrd="0" presId="urn:microsoft.com/office/officeart/2005/8/layout/process1"/>
    <dgm:cxn modelId="{5475F211-B633-2B4F-A3D1-32B99B2DA3CF}" type="presParOf" srcId="{E9946B2D-FB58-BC48-8176-8B3B3EB1542C}" destId="{24449856-3284-1D4E-A504-393F02775E30}" srcOrd="2" destOrd="0" presId="urn:microsoft.com/office/officeart/2005/8/layout/process1"/>
    <dgm:cxn modelId="{82C66AAD-699E-734C-86E9-C7CCA29E0ABB}" type="presParOf" srcId="{E9946B2D-FB58-BC48-8176-8B3B3EB1542C}" destId="{E43DDABB-0D16-1940-850A-98836AA88638}" srcOrd="3" destOrd="0" presId="urn:microsoft.com/office/officeart/2005/8/layout/process1"/>
    <dgm:cxn modelId="{1E84CA00-3BEB-0A43-B959-BAB2CF7397B5}" type="presParOf" srcId="{E43DDABB-0D16-1940-850A-98836AA88638}" destId="{5FD1C36F-4053-604E-BB7D-8CC5B1E05303}" srcOrd="0" destOrd="0" presId="urn:microsoft.com/office/officeart/2005/8/layout/process1"/>
    <dgm:cxn modelId="{0467E9C8-3BD3-C84A-972A-92D8149B9626}" type="presParOf" srcId="{E9946B2D-FB58-BC48-8176-8B3B3EB1542C}" destId="{52E52A17-774B-CA49-A618-A47E0EF321E9}" srcOrd="4" destOrd="0" presId="urn:microsoft.com/office/officeart/2005/8/layout/process1"/>
    <dgm:cxn modelId="{0EF9F816-577F-F74F-A8C6-744CEF8BB8F3}" type="presParOf" srcId="{E9946B2D-FB58-BC48-8176-8B3B3EB1542C}" destId="{67A92BF5-22AF-3648-B0DB-4BE6F14D3124}" srcOrd="5" destOrd="0" presId="urn:microsoft.com/office/officeart/2005/8/layout/process1"/>
    <dgm:cxn modelId="{3C31D68E-B851-F746-A2E8-B74B22915ED5}" type="presParOf" srcId="{67A92BF5-22AF-3648-B0DB-4BE6F14D3124}" destId="{01917EA0-5748-3840-8876-EE4DBACF5F98}" srcOrd="0" destOrd="0" presId="urn:microsoft.com/office/officeart/2005/8/layout/process1"/>
    <dgm:cxn modelId="{30A3B13F-3594-664C-A0B0-874C79B2FA52}" type="presParOf" srcId="{E9946B2D-FB58-BC48-8176-8B3B3EB1542C}" destId="{9D4D9A7D-5776-3049-957A-C5109191A787}" srcOrd="6" destOrd="0" presId="urn:microsoft.com/office/officeart/2005/8/layout/process1"/>
    <dgm:cxn modelId="{434673D4-77C0-B64C-ADC3-11BEEB9A7832}" type="presParOf" srcId="{E9946B2D-FB58-BC48-8176-8B3B3EB1542C}" destId="{C51B4593-44C2-8445-9BE7-F1719FF5E9C3}" srcOrd="7" destOrd="0" presId="urn:microsoft.com/office/officeart/2005/8/layout/process1"/>
    <dgm:cxn modelId="{0A0165B6-6581-564C-A0A2-BC019069C733}" type="presParOf" srcId="{C51B4593-44C2-8445-9BE7-F1719FF5E9C3}" destId="{7707A236-440F-D24E-B22B-2BE447A4A344}" srcOrd="0" destOrd="0" presId="urn:microsoft.com/office/officeart/2005/8/layout/process1"/>
    <dgm:cxn modelId="{9F1D0F2F-D3FF-824D-844B-BE9113703FD5}" type="presParOf" srcId="{E9946B2D-FB58-BC48-8176-8B3B3EB1542C}" destId="{3B7ED829-B887-3845-A01B-C1AB751FF8FA}" srcOrd="8" destOrd="0" presId="urn:microsoft.com/office/officeart/2005/8/layout/process1"/>
    <dgm:cxn modelId="{9EB64AE2-2974-E44F-BBEA-302BB7CA2377}" type="presParOf" srcId="{E9946B2D-FB58-BC48-8176-8B3B3EB1542C}" destId="{34CED67F-1EB4-0244-B1CD-2406100FA588}" srcOrd="9" destOrd="0" presId="urn:microsoft.com/office/officeart/2005/8/layout/process1"/>
    <dgm:cxn modelId="{EBE9288F-CF4C-024E-B2A0-1D43F047D82E}" type="presParOf" srcId="{34CED67F-1EB4-0244-B1CD-2406100FA588}" destId="{221EC995-835A-4A4C-B86F-AC3BFF5C99EA}" srcOrd="0" destOrd="0" presId="urn:microsoft.com/office/officeart/2005/8/layout/process1"/>
    <dgm:cxn modelId="{6318D89D-5A32-7F45-9BCA-96C223C82CE7}" type="presParOf" srcId="{E9946B2D-FB58-BC48-8176-8B3B3EB1542C}" destId="{8D7FA429-CECE-C845-A69A-FBBC54987D12}" srcOrd="10" destOrd="0" presId="urn:microsoft.com/office/officeart/2005/8/layout/process1"/>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5FD9721E-3000-3245-8979-05F91372C612}" type="doc">
      <dgm:prSet loTypeId="urn:microsoft.com/office/officeart/2005/8/layout/process1" loCatId="" qsTypeId="urn:microsoft.com/office/officeart/2005/8/quickstyle/simple1" qsCatId="simple" csTypeId="urn:microsoft.com/office/officeart/2005/8/colors/accent6_2" csCatId="accent6" phldr="1"/>
      <dgm:spPr/>
    </dgm:pt>
    <dgm:pt modelId="{E8D3006B-78AF-4E4F-A388-1E6B3C0EBCE0}">
      <dgm:prSet phldrT="[Text]"/>
      <dgm:spPr/>
      <dgm:t>
        <a:bodyPr/>
        <a:lstStyle/>
        <a:p>
          <a:r>
            <a:rPr lang="en-US"/>
            <a:t>Liên hệ tìm đối tác</a:t>
          </a:r>
        </a:p>
      </dgm:t>
    </dgm:pt>
    <dgm:pt modelId="{49328971-08B7-4142-897E-3703BE358D0E}" type="parTrans" cxnId="{E124A27C-5EB0-6944-A754-07900B506C70}">
      <dgm:prSet/>
      <dgm:spPr/>
      <dgm:t>
        <a:bodyPr/>
        <a:lstStyle/>
        <a:p>
          <a:endParaRPr lang="en-US"/>
        </a:p>
      </dgm:t>
    </dgm:pt>
    <dgm:pt modelId="{3BABEDC0-B4E6-D24D-ADD1-5240787C3F78}" type="sibTrans" cxnId="{E124A27C-5EB0-6944-A754-07900B506C70}">
      <dgm:prSet/>
      <dgm:spPr/>
      <dgm:t>
        <a:bodyPr/>
        <a:lstStyle/>
        <a:p>
          <a:endParaRPr lang="en-US"/>
        </a:p>
      </dgm:t>
    </dgm:pt>
    <dgm:pt modelId="{8010E740-1C54-9344-B1F8-70C4B72B4370}">
      <dgm:prSet phldrT="[Text]"/>
      <dgm:spPr/>
      <dgm:t>
        <a:bodyPr/>
        <a:lstStyle/>
        <a:p>
          <a:r>
            <a:rPr lang="en-US"/>
            <a:t>Kiểm tra từ cơ quan chức năng, khai báo hải quan</a:t>
          </a:r>
        </a:p>
      </dgm:t>
    </dgm:pt>
    <dgm:pt modelId="{B5A13AC8-3E35-6A4B-85D6-E681B82626EC}" type="parTrans" cxnId="{CB0A111C-0C1F-1A4D-A04A-B3785B154580}">
      <dgm:prSet/>
      <dgm:spPr/>
      <dgm:t>
        <a:bodyPr/>
        <a:lstStyle/>
        <a:p>
          <a:endParaRPr lang="en-US"/>
        </a:p>
      </dgm:t>
    </dgm:pt>
    <dgm:pt modelId="{63DFC166-B3BB-E540-9CF4-8F0D490A64B1}" type="sibTrans" cxnId="{CB0A111C-0C1F-1A4D-A04A-B3785B154580}">
      <dgm:prSet/>
      <dgm:spPr/>
      <dgm:t>
        <a:bodyPr/>
        <a:lstStyle/>
        <a:p>
          <a:endParaRPr lang="en-US"/>
        </a:p>
      </dgm:t>
    </dgm:pt>
    <dgm:pt modelId="{F9BABA66-7C1D-C340-86BC-003926B48942}">
      <dgm:prSet phldrT="[Text]"/>
      <dgm:spPr/>
      <dgm:t>
        <a:bodyPr/>
        <a:lstStyle/>
        <a:p>
          <a:r>
            <a:rPr lang="en-US"/>
            <a:t>Tạo báo giá</a:t>
          </a:r>
        </a:p>
      </dgm:t>
    </dgm:pt>
    <dgm:pt modelId="{FF844F2D-90A9-6943-8756-C857CEAC095D}" type="parTrans" cxnId="{85EDAA7E-89ED-FB4E-8BF6-7F08D5E98C9F}">
      <dgm:prSet/>
      <dgm:spPr/>
      <dgm:t>
        <a:bodyPr/>
        <a:lstStyle/>
        <a:p>
          <a:endParaRPr lang="en-US"/>
        </a:p>
      </dgm:t>
    </dgm:pt>
    <dgm:pt modelId="{1B3E88C4-13AA-334E-8CC9-4724BE9452E7}" type="sibTrans" cxnId="{85EDAA7E-89ED-FB4E-8BF6-7F08D5E98C9F}">
      <dgm:prSet/>
      <dgm:spPr/>
      <dgm:t>
        <a:bodyPr/>
        <a:lstStyle/>
        <a:p>
          <a:endParaRPr lang="en-US"/>
        </a:p>
      </dgm:t>
    </dgm:pt>
    <dgm:pt modelId="{42467B5F-9351-5240-A7FC-B68491B2530C}">
      <dgm:prSet phldrT="[Text]"/>
      <dgm:spPr/>
      <dgm:t>
        <a:bodyPr/>
        <a:lstStyle/>
        <a:p>
          <a:r>
            <a:rPr lang="en-US"/>
            <a:t>Tạo hợp đồng</a:t>
          </a:r>
        </a:p>
      </dgm:t>
    </dgm:pt>
    <dgm:pt modelId="{04237E79-9A19-A149-B716-978B3CEF130C}" type="parTrans" cxnId="{E262296A-63A0-2247-96ED-3F2E74B920BA}">
      <dgm:prSet/>
      <dgm:spPr/>
      <dgm:t>
        <a:bodyPr/>
        <a:lstStyle/>
        <a:p>
          <a:endParaRPr lang="en-US"/>
        </a:p>
      </dgm:t>
    </dgm:pt>
    <dgm:pt modelId="{74CDF28C-E01B-A943-AE3C-E5293005D0BE}" type="sibTrans" cxnId="{E262296A-63A0-2247-96ED-3F2E74B920BA}">
      <dgm:prSet/>
      <dgm:spPr/>
      <dgm:t>
        <a:bodyPr/>
        <a:lstStyle/>
        <a:p>
          <a:endParaRPr lang="en-US"/>
        </a:p>
      </dgm:t>
    </dgm:pt>
    <dgm:pt modelId="{4E388650-E880-9643-851A-86D21AD2F776}">
      <dgm:prSet phldrT="[Text]"/>
      <dgm:spPr/>
      <dgm:t>
        <a:bodyPr/>
        <a:lstStyle/>
        <a:p>
          <a:r>
            <a:rPr lang="en-US"/>
            <a:t>Duyệt hợp đồng</a:t>
          </a:r>
        </a:p>
      </dgm:t>
    </dgm:pt>
    <dgm:pt modelId="{89B4C7C5-C598-924C-A53A-9D0EB6A10BA4}" type="parTrans" cxnId="{35A9A856-5612-CD4B-925B-FF65D152E966}">
      <dgm:prSet/>
      <dgm:spPr/>
      <dgm:t>
        <a:bodyPr/>
        <a:lstStyle/>
        <a:p>
          <a:endParaRPr lang="en-US"/>
        </a:p>
      </dgm:t>
    </dgm:pt>
    <dgm:pt modelId="{AFDD6B95-BB50-0A4E-872A-3DC4538C7776}" type="sibTrans" cxnId="{35A9A856-5612-CD4B-925B-FF65D152E966}">
      <dgm:prSet/>
      <dgm:spPr/>
      <dgm:t>
        <a:bodyPr/>
        <a:lstStyle/>
        <a:p>
          <a:endParaRPr lang="en-US"/>
        </a:p>
      </dgm:t>
    </dgm:pt>
    <dgm:pt modelId="{7C3C370F-950A-834A-BF29-4AF7DA95767A}">
      <dgm:prSet phldrT="[Text]"/>
      <dgm:spPr/>
      <dgm:t>
        <a:bodyPr/>
        <a:lstStyle/>
        <a:p>
          <a:r>
            <a:rPr lang="en-US"/>
            <a:t>Thông báo sản xuất cho xưởng sản xuất</a:t>
          </a:r>
        </a:p>
      </dgm:t>
    </dgm:pt>
    <dgm:pt modelId="{2449CB60-3D0C-6C40-8374-92D3BC2B3ECE}" type="parTrans" cxnId="{CA510332-DCAD-3642-A788-039355FDD541}">
      <dgm:prSet/>
      <dgm:spPr/>
      <dgm:t>
        <a:bodyPr/>
        <a:lstStyle/>
        <a:p>
          <a:endParaRPr lang="en-US"/>
        </a:p>
      </dgm:t>
    </dgm:pt>
    <dgm:pt modelId="{6739F3D4-8E32-7242-AE4B-6336E053D1C1}" type="sibTrans" cxnId="{CA510332-DCAD-3642-A788-039355FDD541}">
      <dgm:prSet/>
      <dgm:spPr/>
      <dgm:t>
        <a:bodyPr/>
        <a:lstStyle/>
        <a:p>
          <a:endParaRPr lang="en-US"/>
        </a:p>
      </dgm:t>
    </dgm:pt>
    <dgm:pt modelId="{32075F04-84E7-C64E-AB50-CE07E018144A}">
      <dgm:prSet phldrT="[Text]"/>
      <dgm:spPr/>
      <dgm:t>
        <a:bodyPr/>
        <a:lstStyle/>
        <a:p>
          <a:r>
            <a:rPr lang="en-US"/>
            <a:t>Làm giấy tờ cho lô hàng</a:t>
          </a:r>
        </a:p>
      </dgm:t>
    </dgm:pt>
    <dgm:pt modelId="{93E6E0C9-ABEC-0A47-9978-D21525BA6206}" type="parTrans" cxnId="{A4BB1EB4-C472-6947-A1BE-9016D9E87466}">
      <dgm:prSet/>
      <dgm:spPr/>
      <dgm:t>
        <a:bodyPr/>
        <a:lstStyle/>
        <a:p>
          <a:endParaRPr lang="en-US"/>
        </a:p>
      </dgm:t>
    </dgm:pt>
    <dgm:pt modelId="{F756F95B-FF8D-B548-8D38-2595BFA1B7AB}" type="sibTrans" cxnId="{A4BB1EB4-C472-6947-A1BE-9016D9E87466}">
      <dgm:prSet/>
      <dgm:spPr/>
      <dgm:t>
        <a:bodyPr/>
        <a:lstStyle/>
        <a:p>
          <a:endParaRPr lang="en-US"/>
        </a:p>
      </dgm:t>
    </dgm:pt>
    <dgm:pt modelId="{D0C045C9-7914-0149-BD21-E06BBCFF59F7}" type="pres">
      <dgm:prSet presAssocID="{5FD9721E-3000-3245-8979-05F91372C612}" presName="Name0" presStyleCnt="0">
        <dgm:presLayoutVars>
          <dgm:dir/>
          <dgm:resizeHandles val="exact"/>
        </dgm:presLayoutVars>
      </dgm:prSet>
      <dgm:spPr/>
    </dgm:pt>
    <dgm:pt modelId="{3A885BD7-02EC-CC4C-A71D-1B0320154EA3}" type="pres">
      <dgm:prSet presAssocID="{E8D3006B-78AF-4E4F-A388-1E6B3C0EBCE0}" presName="node" presStyleLbl="node1" presStyleIdx="0" presStyleCnt="7">
        <dgm:presLayoutVars>
          <dgm:bulletEnabled val="1"/>
        </dgm:presLayoutVars>
      </dgm:prSet>
      <dgm:spPr/>
    </dgm:pt>
    <dgm:pt modelId="{FBEC25ED-9B66-AD48-86BB-418BB6F0F469}" type="pres">
      <dgm:prSet presAssocID="{3BABEDC0-B4E6-D24D-ADD1-5240787C3F78}" presName="sibTrans" presStyleLbl="sibTrans2D1" presStyleIdx="0" presStyleCnt="6"/>
      <dgm:spPr/>
    </dgm:pt>
    <dgm:pt modelId="{F6D22B28-5457-384A-A317-4F4C73459D94}" type="pres">
      <dgm:prSet presAssocID="{3BABEDC0-B4E6-D24D-ADD1-5240787C3F78}" presName="connectorText" presStyleLbl="sibTrans2D1" presStyleIdx="0" presStyleCnt="6"/>
      <dgm:spPr/>
    </dgm:pt>
    <dgm:pt modelId="{DE551431-A2E0-4B41-9A83-376ECA338145}" type="pres">
      <dgm:prSet presAssocID="{F9BABA66-7C1D-C340-86BC-003926B48942}" presName="node" presStyleLbl="node1" presStyleIdx="1" presStyleCnt="7">
        <dgm:presLayoutVars>
          <dgm:bulletEnabled val="1"/>
        </dgm:presLayoutVars>
      </dgm:prSet>
      <dgm:spPr/>
    </dgm:pt>
    <dgm:pt modelId="{FFE7D8DB-F194-EE45-8155-8CDF9BC0D8E2}" type="pres">
      <dgm:prSet presAssocID="{1B3E88C4-13AA-334E-8CC9-4724BE9452E7}" presName="sibTrans" presStyleLbl="sibTrans2D1" presStyleIdx="1" presStyleCnt="6"/>
      <dgm:spPr/>
    </dgm:pt>
    <dgm:pt modelId="{47B9BA41-4291-4B43-95FB-578F1650A270}" type="pres">
      <dgm:prSet presAssocID="{1B3E88C4-13AA-334E-8CC9-4724BE9452E7}" presName="connectorText" presStyleLbl="sibTrans2D1" presStyleIdx="1" presStyleCnt="6"/>
      <dgm:spPr/>
    </dgm:pt>
    <dgm:pt modelId="{DC25FB64-5A43-D84B-AACD-E46471D6D7B5}" type="pres">
      <dgm:prSet presAssocID="{42467B5F-9351-5240-A7FC-B68491B2530C}" presName="node" presStyleLbl="node1" presStyleIdx="2" presStyleCnt="7">
        <dgm:presLayoutVars>
          <dgm:bulletEnabled val="1"/>
        </dgm:presLayoutVars>
      </dgm:prSet>
      <dgm:spPr/>
    </dgm:pt>
    <dgm:pt modelId="{959A6540-C705-3B42-A2A4-3974D6A69A8B}" type="pres">
      <dgm:prSet presAssocID="{74CDF28C-E01B-A943-AE3C-E5293005D0BE}" presName="sibTrans" presStyleLbl="sibTrans2D1" presStyleIdx="2" presStyleCnt="6"/>
      <dgm:spPr/>
    </dgm:pt>
    <dgm:pt modelId="{874C93F2-0D52-DC4C-9A28-7D92E90FA4B9}" type="pres">
      <dgm:prSet presAssocID="{74CDF28C-E01B-A943-AE3C-E5293005D0BE}" presName="connectorText" presStyleLbl="sibTrans2D1" presStyleIdx="2" presStyleCnt="6"/>
      <dgm:spPr/>
    </dgm:pt>
    <dgm:pt modelId="{AC07AD4A-8530-084C-AD4E-4B1D82A838B8}" type="pres">
      <dgm:prSet presAssocID="{4E388650-E880-9643-851A-86D21AD2F776}" presName="node" presStyleLbl="node1" presStyleIdx="3" presStyleCnt="7">
        <dgm:presLayoutVars>
          <dgm:bulletEnabled val="1"/>
        </dgm:presLayoutVars>
      </dgm:prSet>
      <dgm:spPr/>
    </dgm:pt>
    <dgm:pt modelId="{28544A7D-A683-1C45-A82C-35E785AB654E}" type="pres">
      <dgm:prSet presAssocID="{AFDD6B95-BB50-0A4E-872A-3DC4538C7776}" presName="sibTrans" presStyleLbl="sibTrans2D1" presStyleIdx="3" presStyleCnt="6"/>
      <dgm:spPr/>
    </dgm:pt>
    <dgm:pt modelId="{A38416C6-C781-0D4A-9AE5-5D2ADC667D8F}" type="pres">
      <dgm:prSet presAssocID="{AFDD6B95-BB50-0A4E-872A-3DC4538C7776}" presName="connectorText" presStyleLbl="sibTrans2D1" presStyleIdx="3" presStyleCnt="6"/>
      <dgm:spPr/>
    </dgm:pt>
    <dgm:pt modelId="{9248AD0E-BAF2-DE45-8A82-70AB44151E95}" type="pres">
      <dgm:prSet presAssocID="{7C3C370F-950A-834A-BF29-4AF7DA95767A}" presName="node" presStyleLbl="node1" presStyleIdx="4" presStyleCnt="7">
        <dgm:presLayoutVars>
          <dgm:bulletEnabled val="1"/>
        </dgm:presLayoutVars>
      </dgm:prSet>
      <dgm:spPr/>
    </dgm:pt>
    <dgm:pt modelId="{B7B51554-A231-874F-9F04-4E30FEE75A34}" type="pres">
      <dgm:prSet presAssocID="{6739F3D4-8E32-7242-AE4B-6336E053D1C1}" presName="sibTrans" presStyleLbl="sibTrans2D1" presStyleIdx="4" presStyleCnt="6"/>
      <dgm:spPr/>
    </dgm:pt>
    <dgm:pt modelId="{3602DAB2-09C0-A246-A7F3-BCC47B19BF18}" type="pres">
      <dgm:prSet presAssocID="{6739F3D4-8E32-7242-AE4B-6336E053D1C1}" presName="connectorText" presStyleLbl="sibTrans2D1" presStyleIdx="4" presStyleCnt="6"/>
      <dgm:spPr/>
    </dgm:pt>
    <dgm:pt modelId="{CCB441A8-4D87-5641-B760-50CA8510FE4B}" type="pres">
      <dgm:prSet presAssocID="{32075F04-84E7-C64E-AB50-CE07E018144A}" presName="node" presStyleLbl="node1" presStyleIdx="5" presStyleCnt="7">
        <dgm:presLayoutVars>
          <dgm:bulletEnabled val="1"/>
        </dgm:presLayoutVars>
      </dgm:prSet>
      <dgm:spPr/>
    </dgm:pt>
    <dgm:pt modelId="{1746D303-CE6F-CB45-A4F8-284EE70163A3}" type="pres">
      <dgm:prSet presAssocID="{F756F95B-FF8D-B548-8D38-2595BFA1B7AB}" presName="sibTrans" presStyleLbl="sibTrans2D1" presStyleIdx="5" presStyleCnt="6"/>
      <dgm:spPr/>
    </dgm:pt>
    <dgm:pt modelId="{3A66915F-514D-D148-A084-2C99AAEBC41B}" type="pres">
      <dgm:prSet presAssocID="{F756F95B-FF8D-B548-8D38-2595BFA1B7AB}" presName="connectorText" presStyleLbl="sibTrans2D1" presStyleIdx="5" presStyleCnt="6"/>
      <dgm:spPr/>
    </dgm:pt>
    <dgm:pt modelId="{77739A82-EDEC-1C45-BE8F-0E2DC4E00992}" type="pres">
      <dgm:prSet presAssocID="{8010E740-1C54-9344-B1F8-70C4B72B4370}" presName="node" presStyleLbl="node1" presStyleIdx="6" presStyleCnt="7">
        <dgm:presLayoutVars>
          <dgm:bulletEnabled val="1"/>
        </dgm:presLayoutVars>
      </dgm:prSet>
      <dgm:spPr/>
    </dgm:pt>
  </dgm:ptLst>
  <dgm:cxnLst>
    <dgm:cxn modelId="{72A90703-F835-BA47-8E4B-D740D1D9CFA5}" type="presOf" srcId="{5FD9721E-3000-3245-8979-05F91372C612}" destId="{D0C045C9-7914-0149-BD21-E06BBCFF59F7}" srcOrd="0" destOrd="0" presId="urn:microsoft.com/office/officeart/2005/8/layout/process1"/>
    <dgm:cxn modelId="{4BC20B05-5F8A-7A4B-93BE-BD9455AC2CF2}" type="presOf" srcId="{AFDD6B95-BB50-0A4E-872A-3DC4538C7776}" destId="{28544A7D-A683-1C45-A82C-35E785AB654E}" srcOrd="0" destOrd="0" presId="urn:microsoft.com/office/officeart/2005/8/layout/process1"/>
    <dgm:cxn modelId="{0B95D00B-4AFE-F041-829D-7BD67D465A1C}" type="presOf" srcId="{74CDF28C-E01B-A943-AE3C-E5293005D0BE}" destId="{959A6540-C705-3B42-A2A4-3974D6A69A8B}" srcOrd="0" destOrd="0" presId="urn:microsoft.com/office/officeart/2005/8/layout/process1"/>
    <dgm:cxn modelId="{FE8B930F-EDC8-9047-B438-1170AC449C42}" type="presOf" srcId="{1B3E88C4-13AA-334E-8CC9-4724BE9452E7}" destId="{47B9BA41-4291-4B43-95FB-578F1650A270}" srcOrd="1" destOrd="0" presId="urn:microsoft.com/office/officeart/2005/8/layout/process1"/>
    <dgm:cxn modelId="{C8DD1C11-B70C-A448-BBBF-B094C3C01829}" type="presOf" srcId="{7C3C370F-950A-834A-BF29-4AF7DA95767A}" destId="{9248AD0E-BAF2-DE45-8A82-70AB44151E95}" srcOrd="0" destOrd="0" presId="urn:microsoft.com/office/officeart/2005/8/layout/process1"/>
    <dgm:cxn modelId="{CB0A111C-0C1F-1A4D-A04A-B3785B154580}" srcId="{5FD9721E-3000-3245-8979-05F91372C612}" destId="{8010E740-1C54-9344-B1F8-70C4B72B4370}" srcOrd="6" destOrd="0" parTransId="{B5A13AC8-3E35-6A4B-85D6-E681B82626EC}" sibTransId="{63DFC166-B3BB-E540-9CF4-8F0D490A64B1}"/>
    <dgm:cxn modelId="{CA510332-DCAD-3642-A788-039355FDD541}" srcId="{5FD9721E-3000-3245-8979-05F91372C612}" destId="{7C3C370F-950A-834A-BF29-4AF7DA95767A}" srcOrd="4" destOrd="0" parTransId="{2449CB60-3D0C-6C40-8374-92D3BC2B3ECE}" sibTransId="{6739F3D4-8E32-7242-AE4B-6336E053D1C1}"/>
    <dgm:cxn modelId="{7EFAF532-3064-5748-B5E1-72401FC0CA5E}" type="presOf" srcId="{4E388650-E880-9643-851A-86D21AD2F776}" destId="{AC07AD4A-8530-084C-AD4E-4B1D82A838B8}" srcOrd="0" destOrd="0" presId="urn:microsoft.com/office/officeart/2005/8/layout/process1"/>
    <dgm:cxn modelId="{35A9A856-5612-CD4B-925B-FF65D152E966}" srcId="{5FD9721E-3000-3245-8979-05F91372C612}" destId="{4E388650-E880-9643-851A-86D21AD2F776}" srcOrd="3" destOrd="0" parTransId="{89B4C7C5-C598-924C-A53A-9D0EB6A10BA4}" sibTransId="{AFDD6B95-BB50-0A4E-872A-3DC4538C7776}"/>
    <dgm:cxn modelId="{D0AA215E-E22C-844C-9598-809166AD37AF}" type="presOf" srcId="{F756F95B-FF8D-B548-8D38-2595BFA1B7AB}" destId="{3A66915F-514D-D148-A084-2C99AAEBC41B}" srcOrd="1" destOrd="0" presId="urn:microsoft.com/office/officeart/2005/8/layout/process1"/>
    <dgm:cxn modelId="{331BCE68-0981-6246-BC90-D9E34A7DD83E}" type="presOf" srcId="{6739F3D4-8E32-7242-AE4B-6336E053D1C1}" destId="{B7B51554-A231-874F-9F04-4E30FEE75A34}" srcOrd="0" destOrd="0" presId="urn:microsoft.com/office/officeart/2005/8/layout/process1"/>
    <dgm:cxn modelId="{E262296A-63A0-2247-96ED-3F2E74B920BA}" srcId="{5FD9721E-3000-3245-8979-05F91372C612}" destId="{42467B5F-9351-5240-A7FC-B68491B2530C}" srcOrd="2" destOrd="0" parTransId="{04237E79-9A19-A149-B716-978B3CEF130C}" sibTransId="{74CDF28C-E01B-A943-AE3C-E5293005D0BE}"/>
    <dgm:cxn modelId="{F08EA372-4CAC-B84B-9066-4F966511A4E0}" type="presOf" srcId="{1B3E88C4-13AA-334E-8CC9-4724BE9452E7}" destId="{FFE7D8DB-F194-EE45-8155-8CDF9BC0D8E2}" srcOrd="0" destOrd="0" presId="urn:microsoft.com/office/officeart/2005/8/layout/process1"/>
    <dgm:cxn modelId="{CE99B879-877B-F74B-A772-45028CA77ECC}" type="presOf" srcId="{6739F3D4-8E32-7242-AE4B-6336E053D1C1}" destId="{3602DAB2-09C0-A246-A7F3-BCC47B19BF18}" srcOrd="1" destOrd="0" presId="urn:microsoft.com/office/officeart/2005/8/layout/process1"/>
    <dgm:cxn modelId="{E124A27C-5EB0-6944-A754-07900B506C70}" srcId="{5FD9721E-3000-3245-8979-05F91372C612}" destId="{E8D3006B-78AF-4E4F-A388-1E6B3C0EBCE0}" srcOrd="0" destOrd="0" parTransId="{49328971-08B7-4142-897E-3703BE358D0E}" sibTransId="{3BABEDC0-B4E6-D24D-ADD1-5240787C3F78}"/>
    <dgm:cxn modelId="{1DFBCE7C-18BF-EB4F-864E-A9C4D677C8B7}" type="presOf" srcId="{42467B5F-9351-5240-A7FC-B68491B2530C}" destId="{DC25FB64-5A43-D84B-AACD-E46471D6D7B5}" srcOrd="0" destOrd="0" presId="urn:microsoft.com/office/officeart/2005/8/layout/process1"/>
    <dgm:cxn modelId="{85EDAA7E-89ED-FB4E-8BF6-7F08D5E98C9F}" srcId="{5FD9721E-3000-3245-8979-05F91372C612}" destId="{F9BABA66-7C1D-C340-86BC-003926B48942}" srcOrd="1" destOrd="0" parTransId="{FF844F2D-90A9-6943-8756-C857CEAC095D}" sibTransId="{1B3E88C4-13AA-334E-8CC9-4724BE9452E7}"/>
    <dgm:cxn modelId="{2679917F-E9B7-B544-AB04-FCA3C96F12FE}" type="presOf" srcId="{F756F95B-FF8D-B548-8D38-2595BFA1B7AB}" destId="{1746D303-CE6F-CB45-A4F8-284EE70163A3}" srcOrd="0" destOrd="0" presId="urn:microsoft.com/office/officeart/2005/8/layout/process1"/>
    <dgm:cxn modelId="{38F94897-AD2D-B944-B262-03B361CBA6DE}" type="presOf" srcId="{E8D3006B-78AF-4E4F-A388-1E6B3C0EBCE0}" destId="{3A885BD7-02EC-CC4C-A71D-1B0320154EA3}" srcOrd="0" destOrd="0" presId="urn:microsoft.com/office/officeart/2005/8/layout/process1"/>
    <dgm:cxn modelId="{0E730E9B-E205-8945-94E4-1BFE9AD4C7E4}" type="presOf" srcId="{8010E740-1C54-9344-B1F8-70C4B72B4370}" destId="{77739A82-EDEC-1C45-BE8F-0E2DC4E00992}" srcOrd="0" destOrd="0" presId="urn:microsoft.com/office/officeart/2005/8/layout/process1"/>
    <dgm:cxn modelId="{A4BB1EB4-C472-6947-A1BE-9016D9E87466}" srcId="{5FD9721E-3000-3245-8979-05F91372C612}" destId="{32075F04-84E7-C64E-AB50-CE07E018144A}" srcOrd="5" destOrd="0" parTransId="{93E6E0C9-ABEC-0A47-9978-D21525BA6206}" sibTransId="{F756F95B-FF8D-B548-8D38-2595BFA1B7AB}"/>
    <dgm:cxn modelId="{2E37A0B9-0BF9-2C49-917C-F2AAFE4EBF33}" type="presOf" srcId="{F9BABA66-7C1D-C340-86BC-003926B48942}" destId="{DE551431-A2E0-4B41-9A83-376ECA338145}" srcOrd="0" destOrd="0" presId="urn:microsoft.com/office/officeart/2005/8/layout/process1"/>
    <dgm:cxn modelId="{06A803C9-A1EE-B34C-B36E-649EA5C8A0A3}" type="presOf" srcId="{3BABEDC0-B4E6-D24D-ADD1-5240787C3F78}" destId="{F6D22B28-5457-384A-A317-4F4C73459D94}" srcOrd="1" destOrd="0" presId="urn:microsoft.com/office/officeart/2005/8/layout/process1"/>
    <dgm:cxn modelId="{1C0F72D1-F44D-434B-B841-D70384BDFE21}" type="presOf" srcId="{32075F04-84E7-C64E-AB50-CE07E018144A}" destId="{CCB441A8-4D87-5641-B760-50CA8510FE4B}" srcOrd="0" destOrd="0" presId="urn:microsoft.com/office/officeart/2005/8/layout/process1"/>
    <dgm:cxn modelId="{AD9B7AD6-002C-B14C-962D-F3641A7E8A37}" type="presOf" srcId="{74CDF28C-E01B-A943-AE3C-E5293005D0BE}" destId="{874C93F2-0D52-DC4C-9A28-7D92E90FA4B9}" srcOrd="1" destOrd="0" presId="urn:microsoft.com/office/officeart/2005/8/layout/process1"/>
    <dgm:cxn modelId="{B2687BD6-AC8E-BE48-9A2D-FCA4EA2C78D0}" type="presOf" srcId="{AFDD6B95-BB50-0A4E-872A-3DC4538C7776}" destId="{A38416C6-C781-0D4A-9AE5-5D2ADC667D8F}" srcOrd="1" destOrd="0" presId="urn:microsoft.com/office/officeart/2005/8/layout/process1"/>
    <dgm:cxn modelId="{20FEFCE7-16E2-F841-A0BB-06D66BE053CC}" type="presOf" srcId="{3BABEDC0-B4E6-D24D-ADD1-5240787C3F78}" destId="{FBEC25ED-9B66-AD48-86BB-418BB6F0F469}" srcOrd="0" destOrd="0" presId="urn:microsoft.com/office/officeart/2005/8/layout/process1"/>
    <dgm:cxn modelId="{6677B0C9-D4A8-744A-AE4C-DE578B327285}" type="presParOf" srcId="{D0C045C9-7914-0149-BD21-E06BBCFF59F7}" destId="{3A885BD7-02EC-CC4C-A71D-1B0320154EA3}" srcOrd="0" destOrd="0" presId="urn:microsoft.com/office/officeart/2005/8/layout/process1"/>
    <dgm:cxn modelId="{ACE88D90-2ECB-0A4A-8ECE-8A9D60A9B610}" type="presParOf" srcId="{D0C045C9-7914-0149-BD21-E06BBCFF59F7}" destId="{FBEC25ED-9B66-AD48-86BB-418BB6F0F469}" srcOrd="1" destOrd="0" presId="urn:microsoft.com/office/officeart/2005/8/layout/process1"/>
    <dgm:cxn modelId="{29AC7AB5-79AF-0C42-B6EE-AC58CE1C5431}" type="presParOf" srcId="{FBEC25ED-9B66-AD48-86BB-418BB6F0F469}" destId="{F6D22B28-5457-384A-A317-4F4C73459D94}" srcOrd="0" destOrd="0" presId="urn:microsoft.com/office/officeart/2005/8/layout/process1"/>
    <dgm:cxn modelId="{C4261695-AE7D-C24D-8C6C-85673F0C5EC9}" type="presParOf" srcId="{D0C045C9-7914-0149-BD21-E06BBCFF59F7}" destId="{DE551431-A2E0-4B41-9A83-376ECA338145}" srcOrd="2" destOrd="0" presId="urn:microsoft.com/office/officeart/2005/8/layout/process1"/>
    <dgm:cxn modelId="{1120ADC6-63F6-C64D-9BA2-069CA050C1AC}" type="presParOf" srcId="{D0C045C9-7914-0149-BD21-E06BBCFF59F7}" destId="{FFE7D8DB-F194-EE45-8155-8CDF9BC0D8E2}" srcOrd="3" destOrd="0" presId="urn:microsoft.com/office/officeart/2005/8/layout/process1"/>
    <dgm:cxn modelId="{4944BABF-FEE1-AF49-92F4-5AB26734422A}" type="presParOf" srcId="{FFE7D8DB-F194-EE45-8155-8CDF9BC0D8E2}" destId="{47B9BA41-4291-4B43-95FB-578F1650A270}" srcOrd="0" destOrd="0" presId="urn:microsoft.com/office/officeart/2005/8/layout/process1"/>
    <dgm:cxn modelId="{AAB25970-F11F-1C4C-9427-EDF758494872}" type="presParOf" srcId="{D0C045C9-7914-0149-BD21-E06BBCFF59F7}" destId="{DC25FB64-5A43-D84B-AACD-E46471D6D7B5}" srcOrd="4" destOrd="0" presId="urn:microsoft.com/office/officeart/2005/8/layout/process1"/>
    <dgm:cxn modelId="{1FDAB8D4-5DDD-DF41-93D6-6C11A8FB6B7E}" type="presParOf" srcId="{D0C045C9-7914-0149-BD21-E06BBCFF59F7}" destId="{959A6540-C705-3B42-A2A4-3974D6A69A8B}" srcOrd="5" destOrd="0" presId="urn:microsoft.com/office/officeart/2005/8/layout/process1"/>
    <dgm:cxn modelId="{E8A02258-8102-FD45-BA86-589ACD8F5605}" type="presParOf" srcId="{959A6540-C705-3B42-A2A4-3974D6A69A8B}" destId="{874C93F2-0D52-DC4C-9A28-7D92E90FA4B9}" srcOrd="0" destOrd="0" presId="urn:microsoft.com/office/officeart/2005/8/layout/process1"/>
    <dgm:cxn modelId="{BC305E8A-7747-9240-B35E-CDB3354FA369}" type="presParOf" srcId="{D0C045C9-7914-0149-BD21-E06BBCFF59F7}" destId="{AC07AD4A-8530-084C-AD4E-4B1D82A838B8}" srcOrd="6" destOrd="0" presId="urn:microsoft.com/office/officeart/2005/8/layout/process1"/>
    <dgm:cxn modelId="{D8E70EF0-A055-2746-BBC1-6DF99BD3A2B3}" type="presParOf" srcId="{D0C045C9-7914-0149-BD21-E06BBCFF59F7}" destId="{28544A7D-A683-1C45-A82C-35E785AB654E}" srcOrd="7" destOrd="0" presId="urn:microsoft.com/office/officeart/2005/8/layout/process1"/>
    <dgm:cxn modelId="{DE70E448-153E-624A-882A-C3A0F3662A4B}" type="presParOf" srcId="{28544A7D-A683-1C45-A82C-35E785AB654E}" destId="{A38416C6-C781-0D4A-9AE5-5D2ADC667D8F}" srcOrd="0" destOrd="0" presId="urn:microsoft.com/office/officeart/2005/8/layout/process1"/>
    <dgm:cxn modelId="{57AD2CBD-C99A-3948-8489-3116A934B730}" type="presParOf" srcId="{D0C045C9-7914-0149-BD21-E06BBCFF59F7}" destId="{9248AD0E-BAF2-DE45-8A82-70AB44151E95}" srcOrd="8" destOrd="0" presId="urn:microsoft.com/office/officeart/2005/8/layout/process1"/>
    <dgm:cxn modelId="{A2AAAE0B-1329-704A-986B-5EFEEC54E8C6}" type="presParOf" srcId="{D0C045C9-7914-0149-BD21-E06BBCFF59F7}" destId="{B7B51554-A231-874F-9F04-4E30FEE75A34}" srcOrd="9" destOrd="0" presId="urn:microsoft.com/office/officeart/2005/8/layout/process1"/>
    <dgm:cxn modelId="{782B44C7-7AAF-A14A-9A96-2CAF687C8FC7}" type="presParOf" srcId="{B7B51554-A231-874F-9F04-4E30FEE75A34}" destId="{3602DAB2-09C0-A246-A7F3-BCC47B19BF18}" srcOrd="0" destOrd="0" presId="urn:microsoft.com/office/officeart/2005/8/layout/process1"/>
    <dgm:cxn modelId="{45068EF2-D063-AA41-AC64-A57C0C3D1024}" type="presParOf" srcId="{D0C045C9-7914-0149-BD21-E06BBCFF59F7}" destId="{CCB441A8-4D87-5641-B760-50CA8510FE4B}" srcOrd="10" destOrd="0" presId="urn:microsoft.com/office/officeart/2005/8/layout/process1"/>
    <dgm:cxn modelId="{978CBD16-4A80-6043-88EE-9743B5B18ACB}" type="presParOf" srcId="{D0C045C9-7914-0149-BD21-E06BBCFF59F7}" destId="{1746D303-CE6F-CB45-A4F8-284EE70163A3}" srcOrd="11" destOrd="0" presId="urn:microsoft.com/office/officeart/2005/8/layout/process1"/>
    <dgm:cxn modelId="{1CC4A9A6-328E-A744-BDAD-FE816B1FAA62}" type="presParOf" srcId="{1746D303-CE6F-CB45-A4F8-284EE70163A3}" destId="{3A66915F-514D-D148-A084-2C99AAEBC41B}" srcOrd="0" destOrd="0" presId="urn:microsoft.com/office/officeart/2005/8/layout/process1"/>
    <dgm:cxn modelId="{2BB8B428-24EC-F446-BB5C-0CC6FFAA3A72}" type="presParOf" srcId="{D0C045C9-7914-0149-BD21-E06BBCFF59F7}" destId="{77739A82-EDEC-1C45-BE8F-0E2DC4E00992}" srcOrd="12" destOrd="0" presId="urn:microsoft.com/office/officeart/2005/8/layout/process1"/>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26C5210E-8D92-4947-896F-F2CC59BFD97B}">
      <dsp:nvSpPr>
        <dsp:cNvPr id="0" name=""/>
        <dsp:cNvSpPr/>
      </dsp:nvSpPr>
      <dsp:spPr>
        <a:xfrm>
          <a:off x="0" y="486083"/>
          <a:ext cx="1202531" cy="1771032"/>
        </a:xfrm>
        <a:prstGeom prst="roundRect">
          <a:avLst>
            <a:gd name="adj" fmla="val 10000"/>
          </a:avLst>
        </a:prstGeom>
        <a:solidFill>
          <a:schemeClr val="accent3">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Liên hệ khách hàng bán Nguyên liệu</a:t>
          </a:r>
        </a:p>
      </dsp:txBody>
      <dsp:txXfrm>
        <a:off x="35221" y="521304"/>
        <a:ext cx="1132089" cy="1700590"/>
      </dsp:txXfrm>
    </dsp:sp>
    <dsp:sp modelId="{8062B386-8C3D-2F4F-A218-2188D1CF38CF}">
      <dsp:nvSpPr>
        <dsp:cNvPr id="0" name=""/>
        <dsp:cNvSpPr/>
      </dsp:nvSpPr>
      <dsp:spPr>
        <a:xfrm>
          <a:off x="1322784" y="1222486"/>
          <a:ext cx="254936" cy="298227"/>
        </a:xfrm>
        <a:prstGeom prst="rightArrow">
          <a:avLst>
            <a:gd name="adj1" fmla="val 60000"/>
            <a:gd name="adj2" fmla="val 50000"/>
          </a:avLst>
        </a:prstGeom>
        <a:solidFill>
          <a:schemeClr val="accent3">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88950">
            <a:lnSpc>
              <a:spcPct val="90000"/>
            </a:lnSpc>
            <a:spcBef>
              <a:spcPct val="0"/>
            </a:spcBef>
            <a:spcAft>
              <a:spcPct val="35000"/>
            </a:spcAft>
            <a:buNone/>
          </a:pPr>
          <a:endParaRPr lang="en-US" sz="1100" kern="1200"/>
        </a:p>
      </dsp:txBody>
      <dsp:txXfrm>
        <a:off x="1322784" y="1282131"/>
        <a:ext cx="178455" cy="178937"/>
      </dsp:txXfrm>
    </dsp:sp>
    <dsp:sp modelId="{60DFE083-9D4F-3649-9226-DB60AEB7D3F4}">
      <dsp:nvSpPr>
        <dsp:cNvPr id="0" name=""/>
        <dsp:cNvSpPr/>
      </dsp:nvSpPr>
      <dsp:spPr>
        <a:xfrm>
          <a:off x="1683543" y="486083"/>
          <a:ext cx="1202531" cy="1771032"/>
        </a:xfrm>
        <a:prstGeom prst="roundRect">
          <a:avLst>
            <a:gd name="adj" fmla="val 10000"/>
          </a:avLst>
        </a:prstGeom>
        <a:solidFill>
          <a:schemeClr val="accent3">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Tạo hợp đồng</a:t>
          </a:r>
        </a:p>
      </dsp:txBody>
      <dsp:txXfrm>
        <a:off x="1718764" y="521304"/>
        <a:ext cx="1132089" cy="1700590"/>
      </dsp:txXfrm>
    </dsp:sp>
    <dsp:sp modelId="{36FE892C-F5A0-7A4F-97BB-D6C3F5675148}">
      <dsp:nvSpPr>
        <dsp:cNvPr id="0" name=""/>
        <dsp:cNvSpPr/>
      </dsp:nvSpPr>
      <dsp:spPr>
        <a:xfrm>
          <a:off x="3006328" y="1222486"/>
          <a:ext cx="254936" cy="298227"/>
        </a:xfrm>
        <a:prstGeom prst="rightArrow">
          <a:avLst>
            <a:gd name="adj1" fmla="val 60000"/>
            <a:gd name="adj2" fmla="val 50000"/>
          </a:avLst>
        </a:prstGeom>
        <a:solidFill>
          <a:schemeClr val="accent3">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88950">
            <a:lnSpc>
              <a:spcPct val="90000"/>
            </a:lnSpc>
            <a:spcBef>
              <a:spcPct val="0"/>
            </a:spcBef>
            <a:spcAft>
              <a:spcPct val="35000"/>
            </a:spcAft>
            <a:buNone/>
          </a:pPr>
          <a:endParaRPr lang="en-US" sz="1100" kern="1200"/>
        </a:p>
      </dsp:txBody>
      <dsp:txXfrm>
        <a:off x="3006328" y="1282131"/>
        <a:ext cx="178455" cy="178937"/>
      </dsp:txXfrm>
    </dsp:sp>
    <dsp:sp modelId="{5CF8487C-D553-2547-AF5E-7287211CADB3}">
      <dsp:nvSpPr>
        <dsp:cNvPr id="0" name=""/>
        <dsp:cNvSpPr/>
      </dsp:nvSpPr>
      <dsp:spPr>
        <a:xfrm>
          <a:off x="3367087" y="486083"/>
          <a:ext cx="1202531" cy="1771032"/>
        </a:xfrm>
        <a:prstGeom prst="roundRect">
          <a:avLst>
            <a:gd name="adj" fmla="val 10000"/>
          </a:avLst>
        </a:prstGeom>
        <a:solidFill>
          <a:schemeClr val="accent3">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Nhận các chứng từ liên quan đến lô hàng ( giấy kiểm nghiệm, chứng minh nguồn gốc, hóa đơn v.v..)</a:t>
          </a:r>
        </a:p>
      </dsp:txBody>
      <dsp:txXfrm>
        <a:off x="3402308" y="521304"/>
        <a:ext cx="1132089" cy="1700590"/>
      </dsp:txXfrm>
    </dsp:sp>
    <dsp:sp modelId="{429049BB-878E-A74D-B6EE-B0D1DFCE6C79}">
      <dsp:nvSpPr>
        <dsp:cNvPr id="0" name=""/>
        <dsp:cNvSpPr/>
      </dsp:nvSpPr>
      <dsp:spPr>
        <a:xfrm>
          <a:off x="4689871" y="1222486"/>
          <a:ext cx="254936" cy="298227"/>
        </a:xfrm>
        <a:prstGeom prst="rightArrow">
          <a:avLst>
            <a:gd name="adj1" fmla="val 60000"/>
            <a:gd name="adj2" fmla="val 50000"/>
          </a:avLst>
        </a:prstGeom>
        <a:solidFill>
          <a:schemeClr val="accent3">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88950">
            <a:lnSpc>
              <a:spcPct val="90000"/>
            </a:lnSpc>
            <a:spcBef>
              <a:spcPct val="0"/>
            </a:spcBef>
            <a:spcAft>
              <a:spcPct val="35000"/>
            </a:spcAft>
            <a:buNone/>
          </a:pPr>
          <a:endParaRPr lang="en-US" sz="1100" kern="1200"/>
        </a:p>
      </dsp:txBody>
      <dsp:txXfrm>
        <a:off x="4689871" y="1282131"/>
        <a:ext cx="178455" cy="178937"/>
      </dsp:txXfrm>
    </dsp:sp>
    <dsp:sp modelId="{C79C2873-9FC7-9F46-A286-5E00229278FF}">
      <dsp:nvSpPr>
        <dsp:cNvPr id="0" name=""/>
        <dsp:cNvSpPr/>
      </dsp:nvSpPr>
      <dsp:spPr>
        <a:xfrm>
          <a:off x="5050631" y="486083"/>
          <a:ext cx="1202531" cy="1771032"/>
        </a:xfrm>
        <a:prstGeom prst="roundRect">
          <a:avLst>
            <a:gd name="adj" fmla="val 10000"/>
          </a:avLst>
        </a:prstGeom>
        <a:solidFill>
          <a:schemeClr val="accent3">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Nhận thông tin hàng về cảng</a:t>
          </a:r>
        </a:p>
      </dsp:txBody>
      <dsp:txXfrm>
        <a:off x="5085852" y="521304"/>
        <a:ext cx="1132089" cy="1700590"/>
      </dsp:txXfrm>
    </dsp:sp>
    <dsp:sp modelId="{EC3EB634-BD82-7541-A4AB-5435CAB31ACB}">
      <dsp:nvSpPr>
        <dsp:cNvPr id="0" name=""/>
        <dsp:cNvSpPr/>
      </dsp:nvSpPr>
      <dsp:spPr>
        <a:xfrm>
          <a:off x="6373415" y="1222486"/>
          <a:ext cx="254936" cy="298227"/>
        </a:xfrm>
        <a:prstGeom prst="rightArrow">
          <a:avLst>
            <a:gd name="adj1" fmla="val 60000"/>
            <a:gd name="adj2" fmla="val 50000"/>
          </a:avLst>
        </a:prstGeom>
        <a:solidFill>
          <a:schemeClr val="accent3">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88950">
            <a:lnSpc>
              <a:spcPct val="90000"/>
            </a:lnSpc>
            <a:spcBef>
              <a:spcPct val="0"/>
            </a:spcBef>
            <a:spcAft>
              <a:spcPct val="35000"/>
            </a:spcAft>
            <a:buNone/>
          </a:pPr>
          <a:endParaRPr lang="en-US" sz="1100" kern="1200"/>
        </a:p>
      </dsp:txBody>
      <dsp:txXfrm>
        <a:off x="6373415" y="1282131"/>
        <a:ext cx="178455" cy="178937"/>
      </dsp:txXfrm>
    </dsp:sp>
    <dsp:sp modelId="{2F9109A0-1AAA-0B4D-857B-8BC4A90F117B}">
      <dsp:nvSpPr>
        <dsp:cNvPr id="0" name=""/>
        <dsp:cNvSpPr/>
      </dsp:nvSpPr>
      <dsp:spPr>
        <a:xfrm>
          <a:off x="6734174" y="486083"/>
          <a:ext cx="1202531" cy="1771032"/>
        </a:xfrm>
        <a:prstGeom prst="roundRect">
          <a:avLst>
            <a:gd name="adj" fmla="val 10000"/>
          </a:avLst>
        </a:prstGeom>
        <a:solidFill>
          <a:schemeClr val="accent3">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Khai báo với Hải quan/ cơ quan liên quan</a:t>
          </a:r>
        </a:p>
      </dsp:txBody>
      <dsp:txXfrm>
        <a:off x="6769395" y="521304"/>
        <a:ext cx="1132089" cy="1700590"/>
      </dsp:txXfrm>
    </dsp:sp>
    <dsp:sp modelId="{3687B128-27DA-464E-995B-C83880FF774D}">
      <dsp:nvSpPr>
        <dsp:cNvPr id="0" name=""/>
        <dsp:cNvSpPr/>
      </dsp:nvSpPr>
      <dsp:spPr>
        <a:xfrm>
          <a:off x="8056959" y="1222486"/>
          <a:ext cx="254936" cy="298227"/>
        </a:xfrm>
        <a:prstGeom prst="rightArrow">
          <a:avLst>
            <a:gd name="adj1" fmla="val 60000"/>
            <a:gd name="adj2" fmla="val 50000"/>
          </a:avLst>
        </a:prstGeom>
        <a:solidFill>
          <a:schemeClr val="accent3">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88950">
            <a:lnSpc>
              <a:spcPct val="90000"/>
            </a:lnSpc>
            <a:spcBef>
              <a:spcPct val="0"/>
            </a:spcBef>
            <a:spcAft>
              <a:spcPct val="35000"/>
            </a:spcAft>
            <a:buNone/>
          </a:pPr>
          <a:endParaRPr lang="en-US" sz="1100" kern="1200"/>
        </a:p>
      </dsp:txBody>
      <dsp:txXfrm>
        <a:off x="8056959" y="1282131"/>
        <a:ext cx="178455" cy="178937"/>
      </dsp:txXfrm>
    </dsp:sp>
    <dsp:sp modelId="{1ABAC7D9-AE9A-7443-BB64-C34640C951D8}">
      <dsp:nvSpPr>
        <dsp:cNvPr id="0" name=""/>
        <dsp:cNvSpPr/>
      </dsp:nvSpPr>
      <dsp:spPr>
        <a:xfrm>
          <a:off x="8417718" y="486083"/>
          <a:ext cx="1202531" cy="1771032"/>
        </a:xfrm>
        <a:prstGeom prst="roundRect">
          <a:avLst>
            <a:gd name="adj" fmla="val 10000"/>
          </a:avLst>
        </a:prstGeom>
        <a:solidFill>
          <a:schemeClr val="accent3">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53340" tIns="53340" rIns="53340" bIns="53340" numCol="1" spcCol="1270" anchor="ctr" anchorCtr="0">
          <a:noAutofit/>
        </a:bodyPr>
        <a:lstStyle/>
        <a:p>
          <a:pPr marL="0" lvl="0" indent="0" algn="ctr" defTabSz="622300">
            <a:lnSpc>
              <a:spcPct val="90000"/>
            </a:lnSpc>
            <a:spcBef>
              <a:spcPct val="0"/>
            </a:spcBef>
            <a:spcAft>
              <a:spcPct val="35000"/>
            </a:spcAft>
            <a:buNone/>
          </a:pPr>
          <a:r>
            <a:rPr lang="en-US" sz="1400" kern="1200"/>
            <a:t>Về nhà máy, nhập kho</a:t>
          </a:r>
        </a:p>
      </dsp:txBody>
      <dsp:txXfrm>
        <a:off x="8452939" y="521304"/>
        <a:ext cx="1132089" cy="1700590"/>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730EB18-F8F6-CC43-8756-B56A55AF3ECC}">
      <dsp:nvSpPr>
        <dsp:cNvPr id="0" name=""/>
        <dsp:cNvSpPr/>
      </dsp:nvSpPr>
      <dsp:spPr>
        <a:xfrm>
          <a:off x="0" y="161633"/>
          <a:ext cx="1408906" cy="1994482"/>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800" kern="1200"/>
            <a:t>Xuất kho sản xuất</a:t>
          </a:r>
        </a:p>
      </dsp:txBody>
      <dsp:txXfrm>
        <a:off x="41265" y="202898"/>
        <a:ext cx="1326376" cy="1911952"/>
      </dsp:txXfrm>
    </dsp:sp>
    <dsp:sp modelId="{49CD1287-F73D-AC4D-89D5-770DD84417AD}">
      <dsp:nvSpPr>
        <dsp:cNvPr id="0" name=""/>
        <dsp:cNvSpPr/>
      </dsp:nvSpPr>
      <dsp:spPr>
        <a:xfrm>
          <a:off x="1549796" y="984170"/>
          <a:ext cx="298688" cy="349408"/>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622300">
            <a:lnSpc>
              <a:spcPct val="90000"/>
            </a:lnSpc>
            <a:spcBef>
              <a:spcPct val="0"/>
            </a:spcBef>
            <a:spcAft>
              <a:spcPct val="35000"/>
            </a:spcAft>
            <a:buNone/>
          </a:pPr>
          <a:endParaRPr lang="en-US" sz="1400" kern="1200"/>
        </a:p>
      </dsp:txBody>
      <dsp:txXfrm>
        <a:off x="1549796" y="1054052"/>
        <a:ext cx="209082" cy="209644"/>
      </dsp:txXfrm>
    </dsp:sp>
    <dsp:sp modelId="{24449856-3284-1D4E-A504-393F02775E30}">
      <dsp:nvSpPr>
        <dsp:cNvPr id="0" name=""/>
        <dsp:cNvSpPr/>
      </dsp:nvSpPr>
      <dsp:spPr>
        <a:xfrm>
          <a:off x="1972468" y="161633"/>
          <a:ext cx="1408906" cy="1994482"/>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800" kern="1200"/>
            <a:t>Làm ra bán thành phẩm (nhập kho, chờ khi nào có đơn sẽ lấy ra sử dụng)</a:t>
          </a:r>
        </a:p>
      </dsp:txBody>
      <dsp:txXfrm>
        <a:off x="2013733" y="202898"/>
        <a:ext cx="1326376" cy="1911952"/>
      </dsp:txXfrm>
    </dsp:sp>
    <dsp:sp modelId="{E43DDABB-0D16-1940-850A-98836AA88638}">
      <dsp:nvSpPr>
        <dsp:cNvPr id="0" name=""/>
        <dsp:cNvSpPr/>
      </dsp:nvSpPr>
      <dsp:spPr>
        <a:xfrm>
          <a:off x="3522265" y="984170"/>
          <a:ext cx="298688" cy="349408"/>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622300">
            <a:lnSpc>
              <a:spcPct val="90000"/>
            </a:lnSpc>
            <a:spcBef>
              <a:spcPct val="0"/>
            </a:spcBef>
            <a:spcAft>
              <a:spcPct val="35000"/>
            </a:spcAft>
            <a:buNone/>
          </a:pPr>
          <a:endParaRPr lang="en-US" sz="1400" kern="1200"/>
        </a:p>
      </dsp:txBody>
      <dsp:txXfrm>
        <a:off x="3522265" y="1054052"/>
        <a:ext cx="209082" cy="209644"/>
      </dsp:txXfrm>
    </dsp:sp>
    <dsp:sp modelId="{52E52A17-774B-CA49-A618-A47E0EF321E9}">
      <dsp:nvSpPr>
        <dsp:cNvPr id="0" name=""/>
        <dsp:cNvSpPr/>
      </dsp:nvSpPr>
      <dsp:spPr>
        <a:xfrm>
          <a:off x="3944937" y="161633"/>
          <a:ext cx="1408906" cy="1994482"/>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800" kern="1200"/>
            <a:t>Thống kê lượng hàng thu được</a:t>
          </a:r>
        </a:p>
      </dsp:txBody>
      <dsp:txXfrm>
        <a:off x="3986202" y="202898"/>
        <a:ext cx="1326376" cy="1911952"/>
      </dsp:txXfrm>
    </dsp:sp>
    <dsp:sp modelId="{67A92BF5-22AF-3648-B0DB-4BE6F14D3124}">
      <dsp:nvSpPr>
        <dsp:cNvPr id="0" name=""/>
        <dsp:cNvSpPr/>
      </dsp:nvSpPr>
      <dsp:spPr>
        <a:xfrm>
          <a:off x="5494734" y="984170"/>
          <a:ext cx="298688" cy="349408"/>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622300">
            <a:lnSpc>
              <a:spcPct val="90000"/>
            </a:lnSpc>
            <a:spcBef>
              <a:spcPct val="0"/>
            </a:spcBef>
            <a:spcAft>
              <a:spcPct val="35000"/>
            </a:spcAft>
            <a:buNone/>
          </a:pPr>
          <a:endParaRPr lang="en-US" sz="1400" kern="1200"/>
        </a:p>
      </dsp:txBody>
      <dsp:txXfrm>
        <a:off x="5494734" y="1054052"/>
        <a:ext cx="209082" cy="209644"/>
      </dsp:txXfrm>
    </dsp:sp>
    <dsp:sp modelId="{9D4D9A7D-5776-3049-957A-C5109191A787}">
      <dsp:nvSpPr>
        <dsp:cNvPr id="0" name=""/>
        <dsp:cNvSpPr/>
      </dsp:nvSpPr>
      <dsp:spPr>
        <a:xfrm>
          <a:off x="5917406" y="161633"/>
          <a:ext cx="1408906" cy="1994482"/>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800" kern="1200"/>
            <a:t>Tính giá, phân tích lãi lỗ</a:t>
          </a:r>
        </a:p>
      </dsp:txBody>
      <dsp:txXfrm>
        <a:off x="5958671" y="202898"/>
        <a:ext cx="1326376" cy="1911952"/>
      </dsp:txXfrm>
    </dsp:sp>
    <dsp:sp modelId="{C51B4593-44C2-8445-9BE7-F1719FF5E9C3}">
      <dsp:nvSpPr>
        <dsp:cNvPr id="0" name=""/>
        <dsp:cNvSpPr/>
      </dsp:nvSpPr>
      <dsp:spPr>
        <a:xfrm>
          <a:off x="7467203" y="984170"/>
          <a:ext cx="298688" cy="349408"/>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622300">
            <a:lnSpc>
              <a:spcPct val="90000"/>
            </a:lnSpc>
            <a:spcBef>
              <a:spcPct val="0"/>
            </a:spcBef>
            <a:spcAft>
              <a:spcPct val="35000"/>
            </a:spcAft>
            <a:buNone/>
          </a:pPr>
          <a:endParaRPr lang="en-US" sz="1400" kern="1200"/>
        </a:p>
      </dsp:txBody>
      <dsp:txXfrm>
        <a:off x="7467203" y="1054052"/>
        <a:ext cx="209082" cy="209644"/>
      </dsp:txXfrm>
    </dsp:sp>
    <dsp:sp modelId="{3B7ED829-B887-3845-A01B-C1AB751FF8FA}">
      <dsp:nvSpPr>
        <dsp:cNvPr id="0" name=""/>
        <dsp:cNvSpPr/>
      </dsp:nvSpPr>
      <dsp:spPr>
        <a:xfrm>
          <a:off x="7889875" y="161633"/>
          <a:ext cx="1408906" cy="1994482"/>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800" kern="1200"/>
            <a:t>Nhận đơn hàng, dùng bán thành phẩm để sử dụng làm thành phẩm xuất khẩu</a:t>
          </a:r>
        </a:p>
      </dsp:txBody>
      <dsp:txXfrm>
        <a:off x="7931140" y="202898"/>
        <a:ext cx="1326376" cy="1911952"/>
      </dsp:txXfrm>
    </dsp:sp>
    <dsp:sp modelId="{34CED67F-1EB4-0244-B1CD-2406100FA588}">
      <dsp:nvSpPr>
        <dsp:cNvPr id="0" name=""/>
        <dsp:cNvSpPr/>
      </dsp:nvSpPr>
      <dsp:spPr>
        <a:xfrm>
          <a:off x="9439671" y="984170"/>
          <a:ext cx="298688" cy="349408"/>
        </a:xfrm>
        <a:prstGeom prst="rightArrow">
          <a:avLst>
            <a:gd name="adj1" fmla="val 60000"/>
            <a:gd name="adj2" fmla="val 50000"/>
          </a:avLst>
        </a:prstGeom>
        <a:solidFill>
          <a:schemeClr val="accent1">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622300">
            <a:lnSpc>
              <a:spcPct val="90000"/>
            </a:lnSpc>
            <a:spcBef>
              <a:spcPct val="0"/>
            </a:spcBef>
            <a:spcAft>
              <a:spcPct val="35000"/>
            </a:spcAft>
            <a:buNone/>
          </a:pPr>
          <a:endParaRPr lang="en-US" sz="1400" kern="1200"/>
        </a:p>
      </dsp:txBody>
      <dsp:txXfrm>
        <a:off x="9439671" y="1054052"/>
        <a:ext cx="209082" cy="209644"/>
      </dsp:txXfrm>
    </dsp:sp>
    <dsp:sp modelId="{8D7FA429-CECE-C845-A69A-FBBC54987D12}">
      <dsp:nvSpPr>
        <dsp:cNvPr id="0" name=""/>
        <dsp:cNvSpPr/>
      </dsp:nvSpPr>
      <dsp:spPr>
        <a:xfrm>
          <a:off x="9862343" y="161633"/>
          <a:ext cx="1408906" cy="1994482"/>
        </a:xfrm>
        <a:prstGeom prst="roundRect">
          <a:avLst>
            <a:gd name="adj" fmla="val 10000"/>
          </a:avLst>
        </a:prstGeom>
        <a:solidFill>
          <a:schemeClr val="accent1">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800" kern="1200"/>
            <a:t>Xuất hàng xuất khẩu </a:t>
          </a:r>
        </a:p>
      </dsp:txBody>
      <dsp:txXfrm>
        <a:off x="9903608" y="202898"/>
        <a:ext cx="1326376" cy="1911952"/>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3A885BD7-02EC-CC4C-A71D-1B0320154EA3}">
      <dsp:nvSpPr>
        <dsp:cNvPr id="0" name=""/>
        <dsp:cNvSpPr/>
      </dsp:nvSpPr>
      <dsp:spPr>
        <a:xfrm>
          <a:off x="2922" y="716732"/>
          <a:ext cx="1106575" cy="1309735"/>
        </a:xfrm>
        <a:prstGeom prst="roundRect">
          <a:avLst>
            <a:gd name="adj" fmla="val 10000"/>
          </a:avLst>
        </a:prstGeom>
        <a:solidFill>
          <a:schemeClr val="accent6">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Liên hệ tìm đối tác</a:t>
          </a:r>
        </a:p>
      </dsp:txBody>
      <dsp:txXfrm>
        <a:off x="35332" y="749142"/>
        <a:ext cx="1041755" cy="1244915"/>
      </dsp:txXfrm>
    </dsp:sp>
    <dsp:sp modelId="{FBEC25ED-9B66-AD48-86BB-418BB6F0F469}">
      <dsp:nvSpPr>
        <dsp:cNvPr id="0" name=""/>
        <dsp:cNvSpPr/>
      </dsp:nvSpPr>
      <dsp:spPr>
        <a:xfrm>
          <a:off x="1220154" y="1234384"/>
          <a:ext cx="234593" cy="274430"/>
        </a:xfrm>
        <a:prstGeom prst="rightArrow">
          <a:avLst>
            <a:gd name="adj1" fmla="val 60000"/>
            <a:gd name="adj2" fmla="val 50000"/>
          </a:avLst>
        </a:prstGeom>
        <a:solidFill>
          <a:schemeClr val="accent6">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88950">
            <a:lnSpc>
              <a:spcPct val="90000"/>
            </a:lnSpc>
            <a:spcBef>
              <a:spcPct val="0"/>
            </a:spcBef>
            <a:spcAft>
              <a:spcPct val="35000"/>
            </a:spcAft>
            <a:buNone/>
          </a:pPr>
          <a:endParaRPr lang="en-US" sz="1100" kern="1200"/>
        </a:p>
      </dsp:txBody>
      <dsp:txXfrm>
        <a:off x="1220154" y="1289270"/>
        <a:ext cx="164215" cy="164658"/>
      </dsp:txXfrm>
    </dsp:sp>
    <dsp:sp modelId="{DE551431-A2E0-4B41-9A83-376ECA338145}">
      <dsp:nvSpPr>
        <dsp:cNvPr id="0" name=""/>
        <dsp:cNvSpPr/>
      </dsp:nvSpPr>
      <dsp:spPr>
        <a:xfrm>
          <a:off x="1552127" y="716732"/>
          <a:ext cx="1106575" cy="1309735"/>
        </a:xfrm>
        <a:prstGeom prst="roundRect">
          <a:avLst>
            <a:gd name="adj" fmla="val 10000"/>
          </a:avLst>
        </a:prstGeom>
        <a:solidFill>
          <a:schemeClr val="accent6">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Tạo báo giá</a:t>
          </a:r>
        </a:p>
      </dsp:txBody>
      <dsp:txXfrm>
        <a:off x="1584537" y="749142"/>
        <a:ext cx="1041755" cy="1244915"/>
      </dsp:txXfrm>
    </dsp:sp>
    <dsp:sp modelId="{FFE7D8DB-F194-EE45-8155-8CDF9BC0D8E2}">
      <dsp:nvSpPr>
        <dsp:cNvPr id="0" name=""/>
        <dsp:cNvSpPr/>
      </dsp:nvSpPr>
      <dsp:spPr>
        <a:xfrm>
          <a:off x="2769359" y="1234384"/>
          <a:ext cx="234593" cy="274430"/>
        </a:xfrm>
        <a:prstGeom prst="rightArrow">
          <a:avLst>
            <a:gd name="adj1" fmla="val 60000"/>
            <a:gd name="adj2" fmla="val 50000"/>
          </a:avLst>
        </a:prstGeom>
        <a:solidFill>
          <a:schemeClr val="accent6">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88950">
            <a:lnSpc>
              <a:spcPct val="90000"/>
            </a:lnSpc>
            <a:spcBef>
              <a:spcPct val="0"/>
            </a:spcBef>
            <a:spcAft>
              <a:spcPct val="35000"/>
            </a:spcAft>
            <a:buNone/>
          </a:pPr>
          <a:endParaRPr lang="en-US" sz="1100" kern="1200"/>
        </a:p>
      </dsp:txBody>
      <dsp:txXfrm>
        <a:off x="2769359" y="1289270"/>
        <a:ext cx="164215" cy="164658"/>
      </dsp:txXfrm>
    </dsp:sp>
    <dsp:sp modelId="{DC25FB64-5A43-D84B-AACD-E46471D6D7B5}">
      <dsp:nvSpPr>
        <dsp:cNvPr id="0" name=""/>
        <dsp:cNvSpPr/>
      </dsp:nvSpPr>
      <dsp:spPr>
        <a:xfrm>
          <a:off x="3101332" y="716732"/>
          <a:ext cx="1106575" cy="1309735"/>
        </a:xfrm>
        <a:prstGeom prst="roundRect">
          <a:avLst>
            <a:gd name="adj" fmla="val 10000"/>
          </a:avLst>
        </a:prstGeom>
        <a:solidFill>
          <a:schemeClr val="accent6">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Tạo hợp đồng</a:t>
          </a:r>
        </a:p>
      </dsp:txBody>
      <dsp:txXfrm>
        <a:off x="3133742" y="749142"/>
        <a:ext cx="1041755" cy="1244915"/>
      </dsp:txXfrm>
    </dsp:sp>
    <dsp:sp modelId="{959A6540-C705-3B42-A2A4-3974D6A69A8B}">
      <dsp:nvSpPr>
        <dsp:cNvPr id="0" name=""/>
        <dsp:cNvSpPr/>
      </dsp:nvSpPr>
      <dsp:spPr>
        <a:xfrm>
          <a:off x="4318564" y="1234384"/>
          <a:ext cx="234593" cy="274430"/>
        </a:xfrm>
        <a:prstGeom prst="rightArrow">
          <a:avLst>
            <a:gd name="adj1" fmla="val 60000"/>
            <a:gd name="adj2" fmla="val 50000"/>
          </a:avLst>
        </a:prstGeom>
        <a:solidFill>
          <a:schemeClr val="accent6">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88950">
            <a:lnSpc>
              <a:spcPct val="90000"/>
            </a:lnSpc>
            <a:spcBef>
              <a:spcPct val="0"/>
            </a:spcBef>
            <a:spcAft>
              <a:spcPct val="35000"/>
            </a:spcAft>
            <a:buNone/>
          </a:pPr>
          <a:endParaRPr lang="en-US" sz="1100" kern="1200"/>
        </a:p>
      </dsp:txBody>
      <dsp:txXfrm>
        <a:off x="4318564" y="1289270"/>
        <a:ext cx="164215" cy="164658"/>
      </dsp:txXfrm>
    </dsp:sp>
    <dsp:sp modelId="{AC07AD4A-8530-084C-AD4E-4B1D82A838B8}">
      <dsp:nvSpPr>
        <dsp:cNvPr id="0" name=""/>
        <dsp:cNvSpPr/>
      </dsp:nvSpPr>
      <dsp:spPr>
        <a:xfrm>
          <a:off x="4650537" y="716732"/>
          <a:ext cx="1106575" cy="1309735"/>
        </a:xfrm>
        <a:prstGeom prst="roundRect">
          <a:avLst>
            <a:gd name="adj" fmla="val 10000"/>
          </a:avLst>
        </a:prstGeom>
        <a:solidFill>
          <a:schemeClr val="accent6">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Duyệt hợp đồng</a:t>
          </a:r>
        </a:p>
      </dsp:txBody>
      <dsp:txXfrm>
        <a:off x="4682947" y="749142"/>
        <a:ext cx="1041755" cy="1244915"/>
      </dsp:txXfrm>
    </dsp:sp>
    <dsp:sp modelId="{28544A7D-A683-1C45-A82C-35E785AB654E}">
      <dsp:nvSpPr>
        <dsp:cNvPr id="0" name=""/>
        <dsp:cNvSpPr/>
      </dsp:nvSpPr>
      <dsp:spPr>
        <a:xfrm>
          <a:off x="5867770" y="1234384"/>
          <a:ext cx="234593" cy="274430"/>
        </a:xfrm>
        <a:prstGeom prst="rightArrow">
          <a:avLst>
            <a:gd name="adj1" fmla="val 60000"/>
            <a:gd name="adj2" fmla="val 50000"/>
          </a:avLst>
        </a:prstGeom>
        <a:solidFill>
          <a:schemeClr val="accent6">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88950">
            <a:lnSpc>
              <a:spcPct val="90000"/>
            </a:lnSpc>
            <a:spcBef>
              <a:spcPct val="0"/>
            </a:spcBef>
            <a:spcAft>
              <a:spcPct val="35000"/>
            </a:spcAft>
            <a:buNone/>
          </a:pPr>
          <a:endParaRPr lang="en-US" sz="1100" kern="1200"/>
        </a:p>
      </dsp:txBody>
      <dsp:txXfrm>
        <a:off x="5867770" y="1289270"/>
        <a:ext cx="164215" cy="164658"/>
      </dsp:txXfrm>
    </dsp:sp>
    <dsp:sp modelId="{9248AD0E-BAF2-DE45-8A82-70AB44151E95}">
      <dsp:nvSpPr>
        <dsp:cNvPr id="0" name=""/>
        <dsp:cNvSpPr/>
      </dsp:nvSpPr>
      <dsp:spPr>
        <a:xfrm>
          <a:off x="6199742" y="716732"/>
          <a:ext cx="1106575" cy="1309735"/>
        </a:xfrm>
        <a:prstGeom prst="roundRect">
          <a:avLst>
            <a:gd name="adj" fmla="val 10000"/>
          </a:avLst>
        </a:prstGeom>
        <a:solidFill>
          <a:schemeClr val="accent6">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Thông báo sản xuất cho xưởng sản xuất</a:t>
          </a:r>
        </a:p>
      </dsp:txBody>
      <dsp:txXfrm>
        <a:off x="6232152" y="749142"/>
        <a:ext cx="1041755" cy="1244915"/>
      </dsp:txXfrm>
    </dsp:sp>
    <dsp:sp modelId="{B7B51554-A231-874F-9F04-4E30FEE75A34}">
      <dsp:nvSpPr>
        <dsp:cNvPr id="0" name=""/>
        <dsp:cNvSpPr/>
      </dsp:nvSpPr>
      <dsp:spPr>
        <a:xfrm>
          <a:off x="7416975" y="1234384"/>
          <a:ext cx="234593" cy="274430"/>
        </a:xfrm>
        <a:prstGeom prst="rightArrow">
          <a:avLst>
            <a:gd name="adj1" fmla="val 60000"/>
            <a:gd name="adj2" fmla="val 50000"/>
          </a:avLst>
        </a:prstGeom>
        <a:solidFill>
          <a:schemeClr val="accent6">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88950">
            <a:lnSpc>
              <a:spcPct val="90000"/>
            </a:lnSpc>
            <a:spcBef>
              <a:spcPct val="0"/>
            </a:spcBef>
            <a:spcAft>
              <a:spcPct val="35000"/>
            </a:spcAft>
            <a:buNone/>
          </a:pPr>
          <a:endParaRPr lang="en-US" sz="1100" kern="1200"/>
        </a:p>
      </dsp:txBody>
      <dsp:txXfrm>
        <a:off x="7416975" y="1289270"/>
        <a:ext cx="164215" cy="164658"/>
      </dsp:txXfrm>
    </dsp:sp>
    <dsp:sp modelId="{CCB441A8-4D87-5641-B760-50CA8510FE4B}">
      <dsp:nvSpPr>
        <dsp:cNvPr id="0" name=""/>
        <dsp:cNvSpPr/>
      </dsp:nvSpPr>
      <dsp:spPr>
        <a:xfrm>
          <a:off x="7748947" y="716732"/>
          <a:ext cx="1106575" cy="1309735"/>
        </a:xfrm>
        <a:prstGeom prst="roundRect">
          <a:avLst>
            <a:gd name="adj" fmla="val 10000"/>
          </a:avLst>
        </a:prstGeom>
        <a:solidFill>
          <a:schemeClr val="accent6">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Làm giấy tờ cho lô hàng</a:t>
          </a:r>
        </a:p>
      </dsp:txBody>
      <dsp:txXfrm>
        <a:off x="7781357" y="749142"/>
        <a:ext cx="1041755" cy="1244915"/>
      </dsp:txXfrm>
    </dsp:sp>
    <dsp:sp modelId="{1746D303-CE6F-CB45-A4F8-284EE70163A3}">
      <dsp:nvSpPr>
        <dsp:cNvPr id="0" name=""/>
        <dsp:cNvSpPr/>
      </dsp:nvSpPr>
      <dsp:spPr>
        <a:xfrm>
          <a:off x="8966180" y="1234384"/>
          <a:ext cx="234593" cy="274430"/>
        </a:xfrm>
        <a:prstGeom prst="rightArrow">
          <a:avLst>
            <a:gd name="adj1" fmla="val 60000"/>
            <a:gd name="adj2" fmla="val 50000"/>
          </a:avLst>
        </a:prstGeom>
        <a:solidFill>
          <a:schemeClr val="accent6">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488950">
            <a:lnSpc>
              <a:spcPct val="90000"/>
            </a:lnSpc>
            <a:spcBef>
              <a:spcPct val="0"/>
            </a:spcBef>
            <a:spcAft>
              <a:spcPct val="35000"/>
            </a:spcAft>
            <a:buNone/>
          </a:pPr>
          <a:endParaRPr lang="en-US" sz="1100" kern="1200"/>
        </a:p>
      </dsp:txBody>
      <dsp:txXfrm>
        <a:off x="8966180" y="1289270"/>
        <a:ext cx="164215" cy="164658"/>
      </dsp:txXfrm>
    </dsp:sp>
    <dsp:sp modelId="{77739A82-EDEC-1C45-BE8F-0E2DC4E00992}">
      <dsp:nvSpPr>
        <dsp:cNvPr id="0" name=""/>
        <dsp:cNvSpPr/>
      </dsp:nvSpPr>
      <dsp:spPr>
        <a:xfrm>
          <a:off x="9298152" y="716732"/>
          <a:ext cx="1106575" cy="1309735"/>
        </a:xfrm>
        <a:prstGeom prst="roundRect">
          <a:avLst>
            <a:gd name="adj" fmla="val 10000"/>
          </a:avLst>
        </a:prstGeom>
        <a:solidFill>
          <a:schemeClr val="accent6">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US" sz="1600" kern="1200"/>
            <a:t>Kiểm tra từ cơ quan chức năng, khai báo hải quan</a:t>
          </a:r>
        </a:p>
      </dsp:txBody>
      <dsp:txXfrm>
        <a:off x="9330562" y="749142"/>
        <a:ext cx="1041755" cy="1244915"/>
      </dsp:txXfrm>
    </dsp:sp>
  </dsp:spTree>
</dsp:drawing>
</file>

<file path=xl/diagrams/layout1.xml><?xml version="1.0" encoding="utf-8"?>
<dgm:layoutDef xmlns:dgm="http://schemas.openxmlformats.org/drawingml/2006/diagram" xmlns:a="http://schemas.openxmlformats.org/drawingml/2006/main" uniqueId="urn:microsoft.com/office/officeart/2005/8/layout/process1">
  <dgm:title val=""/>
  <dgm:desc val=""/>
  <dgm:catLst>
    <dgm:cat type="process" pri="1000"/>
    <dgm:cat type="convert" pri="15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ptType="node" refType="w"/>
      <dgm:constr type="h" for="ch" ptType="node" op="equ"/>
      <dgm:constr type="primFontSz" for="ch" ptType="node" op="equ" val="65"/>
      <dgm:constr type="w" for="ch" ptType="sibTrans" refType="w" refFor="ch" refPtType="node" op="equ" fact="0.4"/>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h" refType="w" fact="0.6"/>
          <dgm:constr type="tMarg" refType="primFontSz" fact="0.3"/>
          <dgm:constr type="bMarg" refType="primFontSz" fact="0.3"/>
          <dgm:constr type="lMarg" refType="primFontSz" fact="0.3"/>
          <dgm:constr type="rMarg" refType="primFontSz" fact="0.3"/>
        </dgm:constrLst>
        <dgm:ruleLst>
          <dgm:rule type="primFontSz" val="18" fact="NaN" max="NaN"/>
          <dgm:rule type="h" val="NaN" fact="1.5" max="NaN"/>
          <dgm:rule type="primFontSz" val="5" fact="NaN" max="NaN"/>
          <dgm:rule type="h" val="INF"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process1">
  <dgm:title val=""/>
  <dgm:desc val=""/>
  <dgm:catLst>
    <dgm:cat type="process" pri="1000"/>
    <dgm:cat type="convert" pri="15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ptType="node" refType="w"/>
      <dgm:constr type="h" for="ch" ptType="node" op="equ"/>
      <dgm:constr type="primFontSz" for="ch" ptType="node" op="equ" val="65"/>
      <dgm:constr type="w" for="ch" ptType="sibTrans" refType="w" refFor="ch" refPtType="node" op="equ" fact="0.4"/>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h" refType="w" fact="0.6"/>
          <dgm:constr type="tMarg" refType="primFontSz" fact="0.3"/>
          <dgm:constr type="bMarg" refType="primFontSz" fact="0.3"/>
          <dgm:constr type="lMarg" refType="primFontSz" fact="0.3"/>
          <dgm:constr type="rMarg" refType="primFontSz" fact="0.3"/>
        </dgm:constrLst>
        <dgm:ruleLst>
          <dgm:rule type="primFontSz" val="18" fact="NaN" max="NaN"/>
          <dgm:rule type="h" val="NaN" fact="1.5" max="NaN"/>
          <dgm:rule type="primFontSz" val="5" fact="NaN" max="NaN"/>
          <dgm:rule type="h" val="INF"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process1">
  <dgm:title val=""/>
  <dgm:desc val=""/>
  <dgm:catLst>
    <dgm:cat type="process" pri="1000"/>
    <dgm:cat type="convert" pri="15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ptType="node" refType="w"/>
      <dgm:constr type="h" for="ch" ptType="node" op="equ"/>
      <dgm:constr type="primFontSz" for="ch" ptType="node" op="equ" val="65"/>
      <dgm:constr type="w" for="ch" ptType="sibTrans" refType="w" refFor="ch" refPtType="node" op="equ" fact="0.4"/>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h" refType="w" fact="0.6"/>
          <dgm:constr type="tMarg" refType="primFontSz" fact="0.3"/>
          <dgm:constr type="bMarg" refType="primFontSz" fact="0.3"/>
          <dgm:constr type="lMarg" refType="primFontSz" fact="0.3"/>
          <dgm:constr type="rMarg" refType="primFontSz" fact="0.3"/>
        </dgm:constrLst>
        <dgm:ruleLst>
          <dgm:rule type="primFontSz" val="18" fact="NaN" max="NaN"/>
          <dgm:rule type="h" val="NaN" fact="1.5" max="NaN"/>
          <dgm:rule type="primFontSz" val="5" fact="NaN" max="NaN"/>
          <dgm:rule type="h" val="INF"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3" Type="http://schemas.openxmlformats.org/officeDocument/2006/relationships/diagramQuickStyle" Target="../diagrams/quickStyle1.xml"/><Relationship Id="rId7" Type="http://schemas.openxmlformats.org/officeDocument/2006/relationships/diagramLayout" Target="../diagrams/layout2.xml"/><Relationship Id="rId12" Type="http://schemas.openxmlformats.org/officeDocument/2006/relationships/diagramLayout" Target="../diagrams/layout3.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drawing1.xml><?xml version="1.0" encoding="utf-8"?>
<xdr:wsDr xmlns:xdr="http://schemas.openxmlformats.org/drawingml/2006/spreadsheetDrawing" xmlns:a="http://schemas.openxmlformats.org/drawingml/2006/main">
  <xdr:twoCellAnchor>
    <xdr:from>
      <xdr:col>0</xdr:col>
      <xdr:colOff>0</xdr:colOff>
      <xdr:row>81</xdr:row>
      <xdr:rowOff>0</xdr:rowOff>
    </xdr:from>
    <xdr:to>
      <xdr:col>10</xdr:col>
      <xdr:colOff>514350</xdr:colOff>
      <xdr:row>121</xdr:row>
      <xdr:rowOff>101600</xdr:rowOff>
    </xdr:to>
    <xdr:grpSp>
      <xdr:nvGrpSpPr>
        <xdr:cNvPr id="2" name="Group 1">
          <a:extLst>
            <a:ext uri="{FF2B5EF4-FFF2-40B4-BE49-F238E27FC236}">
              <a16:creationId xmlns:a16="http://schemas.microsoft.com/office/drawing/2014/main" id="{2B7BACFF-5229-524A-8063-CF5DEAC51273}"/>
            </a:ext>
          </a:extLst>
        </xdr:cNvPr>
        <xdr:cNvGrpSpPr/>
      </xdr:nvGrpSpPr>
      <xdr:grpSpPr>
        <a:xfrm>
          <a:off x="0" y="15468600"/>
          <a:ext cx="11271250" cy="7721600"/>
          <a:chOff x="1225550" y="2025650"/>
          <a:chExt cx="11271250" cy="7721600"/>
        </a:xfrm>
      </xdr:grpSpPr>
      <xdr:graphicFrame macro="">
        <xdr:nvGraphicFramePr>
          <xdr:cNvPr id="3" name="Diagram 2">
            <a:extLst>
              <a:ext uri="{FF2B5EF4-FFF2-40B4-BE49-F238E27FC236}">
                <a16:creationId xmlns:a16="http://schemas.microsoft.com/office/drawing/2014/main" id="{6214F0B2-C438-A825-9E8D-5A62B47A9EBC}"/>
              </a:ext>
            </a:extLst>
          </xdr:cNvPr>
          <xdr:cNvGraphicFramePr/>
        </xdr:nvGraphicFramePr>
        <xdr:xfrm>
          <a:off x="1333500" y="2025650"/>
          <a:ext cx="9620250" cy="274320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graphicFrame macro="">
        <xdr:nvGraphicFramePr>
          <xdr:cNvPr id="4" name="Diagram 3">
            <a:extLst>
              <a:ext uri="{FF2B5EF4-FFF2-40B4-BE49-F238E27FC236}">
                <a16:creationId xmlns:a16="http://schemas.microsoft.com/office/drawing/2014/main" id="{3847A7D7-3B35-41B3-5FC5-9EC818FE08F2}"/>
              </a:ext>
            </a:extLst>
          </xdr:cNvPr>
          <xdr:cNvGraphicFramePr/>
        </xdr:nvGraphicFramePr>
        <xdr:xfrm>
          <a:off x="1225550" y="4540250"/>
          <a:ext cx="11271250" cy="231775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graphicFrame macro="">
        <xdr:nvGraphicFramePr>
          <xdr:cNvPr id="5" name="Diagram 4">
            <a:extLst>
              <a:ext uri="{FF2B5EF4-FFF2-40B4-BE49-F238E27FC236}">
                <a16:creationId xmlns:a16="http://schemas.microsoft.com/office/drawing/2014/main" id="{33AD7458-8F05-6B82-EB96-A6B99F26F81E}"/>
              </a:ext>
            </a:extLst>
          </xdr:cNvPr>
          <xdr:cNvGraphicFramePr/>
        </xdr:nvGraphicFramePr>
        <xdr:xfrm>
          <a:off x="1631950" y="7004050"/>
          <a:ext cx="10407650" cy="274320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xnSp macro="">
        <xdr:nvCxnSpPr>
          <xdr:cNvPr id="6" name="Straight Arrow Connector 5">
            <a:extLst>
              <a:ext uri="{FF2B5EF4-FFF2-40B4-BE49-F238E27FC236}">
                <a16:creationId xmlns:a16="http://schemas.microsoft.com/office/drawing/2014/main" id="{5049955D-8B32-AE42-B6C6-737C100CBAEC}"/>
              </a:ext>
            </a:extLst>
          </xdr:cNvPr>
          <xdr:cNvCxnSpPr/>
        </xdr:nvCxnSpPr>
        <xdr:spPr>
          <a:xfrm flipV="1">
            <a:off x="8483600" y="6680200"/>
            <a:ext cx="685800" cy="1181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 name="Straight Arrow Connector 6">
            <a:extLst>
              <a:ext uri="{FF2B5EF4-FFF2-40B4-BE49-F238E27FC236}">
                <a16:creationId xmlns:a16="http://schemas.microsoft.com/office/drawing/2014/main" id="{2196834E-A49E-B7A9-E7A9-6B6BA9D4DB43}"/>
              </a:ext>
            </a:extLst>
          </xdr:cNvPr>
          <xdr:cNvCxnSpPr/>
        </xdr:nvCxnSpPr>
        <xdr:spPr>
          <a:xfrm flipV="1">
            <a:off x="11582400" y="6756400"/>
            <a:ext cx="0" cy="1016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 name="Straight Arrow Connector 7">
            <a:extLst>
              <a:ext uri="{FF2B5EF4-FFF2-40B4-BE49-F238E27FC236}">
                <a16:creationId xmlns:a16="http://schemas.microsoft.com/office/drawing/2014/main" id="{4D76FE10-FA15-FF0B-FAE9-AF9F14B60DE9}"/>
              </a:ext>
            </a:extLst>
          </xdr:cNvPr>
          <xdr:cNvCxnSpPr/>
        </xdr:nvCxnSpPr>
        <xdr:spPr>
          <a:xfrm flipH="1">
            <a:off x="2362200" y="4267200"/>
            <a:ext cx="764540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F7994-D739-CA4A-B380-8B0C36DECA54}">
  <dimension ref="A2:G79"/>
  <sheetViews>
    <sheetView topLeftCell="A8" workbookViewId="0">
      <selection activeCell="A80" sqref="A80"/>
    </sheetView>
  </sheetViews>
  <sheetFormatPr baseColWidth="10" defaultRowHeight="15" x14ac:dyDescent="0.2"/>
  <cols>
    <col min="1" max="1" width="16.83203125" customWidth="1"/>
    <col min="2" max="2" width="23.1640625" bestFit="1" customWidth="1"/>
    <col min="3" max="3" width="25.33203125" customWidth="1"/>
  </cols>
  <sheetData>
    <row r="2" spans="1:7" x14ac:dyDescent="0.2">
      <c r="A2" s="171" t="s">
        <v>66</v>
      </c>
      <c r="B2" s="172" t="s">
        <v>67</v>
      </c>
      <c r="C2" s="172"/>
      <c r="D2" s="172"/>
      <c r="E2" s="172"/>
      <c r="F2" s="172"/>
      <c r="G2" s="173"/>
    </row>
    <row r="3" spans="1:7" x14ac:dyDescent="0.2">
      <c r="A3" s="174"/>
      <c r="B3" s="110" t="s">
        <v>48</v>
      </c>
      <c r="C3" s="110" t="s">
        <v>70</v>
      </c>
      <c r="D3" s="110"/>
      <c r="E3" s="110"/>
      <c r="F3" s="110"/>
      <c r="G3" s="175"/>
    </row>
    <row r="4" spans="1:7" x14ac:dyDescent="0.2">
      <c r="A4" s="174"/>
      <c r="B4" s="110" t="s">
        <v>68</v>
      </c>
      <c r="C4" s="110" t="s">
        <v>71</v>
      </c>
      <c r="D4" s="110"/>
      <c r="E4" s="110"/>
      <c r="F4" s="110"/>
      <c r="G4" s="175"/>
    </row>
    <row r="5" spans="1:7" x14ac:dyDescent="0.2">
      <c r="A5" s="176"/>
      <c r="B5" s="177" t="s">
        <v>69</v>
      </c>
      <c r="C5" s="177" t="s">
        <v>72</v>
      </c>
      <c r="D5" s="177"/>
      <c r="E5" s="177"/>
      <c r="F5" s="177"/>
      <c r="G5" s="178"/>
    </row>
    <row r="6" spans="1:7" x14ac:dyDescent="0.2">
      <c r="A6" s="169"/>
      <c r="B6" s="110"/>
      <c r="C6" s="110"/>
      <c r="D6" s="110"/>
      <c r="E6" s="110"/>
      <c r="F6" s="110"/>
      <c r="G6" s="110"/>
    </row>
    <row r="7" spans="1:7" x14ac:dyDescent="0.2">
      <c r="A7" s="171" t="s">
        <v>73</v>
      </c>
      <c r="B7" s="172" t="s">
        <v>74</v>
      </c>
      <c r="C7" s="172" t="s">
        <v>82</v>
      </c>
      <c r="D7" s="172"/>
      <c r="E7" s="172"/>
      <c r="F7" s="172"/>
      <c r="G7" s="173"/>
    </row>
    <row r="8" spans="1:7" x14ac:dyDescent="0.2">
      <c r="A8" s="174"/>
      <c r="B8" s="110" t="s">
        <v>75</v>
      </c>
      <c r="C8" s="110" t="s">
        <v>83</v>
      </c>
      <c r="D8" s="110"/>
      <c r="E8" s="110"/>
      <c r="F8" s="110"/>
      <c r="G8" s="175"/>
    </row>
    <row r="9" spans="1:7" x14ac:dyDescent="0.2">
      <c r="A9" s="174"/>
      <c r="B9" s="110" t="s">
        <v>81</v>
      </c>
      <c r="C9" s="110" t="s">
        <v>84</v>
      </c>
      <c r="D9" s="110"/>
      <c r="E9" s="110"/>
      <c r="F9" s="110"/>
      <c r="G9" s="175"/>
    </row>
    <row r="10" spans="1:7" x14ac:dyDescent="0.2">
      <c r="A10" s="176"/>
      <c r="B10" s="177" t="s">
        <v>80</v>
      </c>
      <c r="C10" s="177" t="s">
        <v>85</v>
      </c>
      <c r="D10" s="177"/>
      <c r="E10" s="177"/>
      <c r="F10" s="177"/>
      <c r="G10" s="178"/>
    </row>
    <row r="11" spans="1:7" x14ac:dyDescent="0.2">
      <c r="A11" s="171" t="s">
        <v>77</v>
      </c>
      <c r="B11" s="172" t="s">
        <v>76</v>
      </c>
      <c r="C11" s="172"/>
      <c r="D11" s="172"/>
      <c r="E11" s="172"/>
      <c r="F11" s="172"/>
      <c r="G11" s="173"/>
    </row>
    <row r="12" spans="1:7" x14ac:dyDescent="0.2">
      <c r="A12" s="174"/>
      <c r="B12" s="110" t="s">
        <v>78</v>
      </c>
      <c r="C12" s="110"/>
      <c r="D12" s="110"/>
      <c r="E12" s="110"/>
      <c r="F12" s="110"/>
      <c r="G12" s="175"/>
    </row>
    <row r="13" spans="1:7" x14ac:dyDescent="0.2">
      <c r="A13" s="176"/>
      <c r="B13" s="177" t="s">
        <v>79</v>
      </c>
      <c r="C13" s="177"/>
      <c r="D13" s="177"/>
      <c r="E13" s="177"/>
      <c r="F13" s="177"/>
      <c r="G13" s="178"/>
    </row>
    <row r="14" spans="1:7" x14ac:dyDescent="0.2">
      <c r="A14" s="171" t="s">
        <v>86</v>
      </c>
      <c r="B14" s="172" t="s">
        <v>87</v>
      </c>
      <c r="C14" s="172"/>
      <c r="D14" s="172"/>
      <c r="E14" s="172"/>
      <c r="F14" s="172"/>
      <c r="G14" s="173"/>
    </row>
    <row r="15" spans="1:7" x14ac:dyDescent="0.2">
      <c r="A15" s="174"/>
      <c r="B15" s="110" t="s">
        <v>88</v>
      </c>
      <c r="C15" s="110"/>
      <c r="D15" s="110"/>
      <c r="E15" s="110"/>
      <c r="F15" s="110"/>
      <c r="G15" s="175"/>
    </row>
    <row r="16" spans="1:7" x14ac:dyDescent="0.2">
      <c r="A16" s="174"/>
      <c r="B16" s="110" t="s">
        <v>89</v>
      </c>
      <c r="C16" s="110"/>
      <c r="D16" s="110"/>
      <c r="E16" s="110"/>
      <c r="F16" s="110"/>
      <c r="G16" s="175"/>
    </row>
    <row r="17" spans="1:7" x14ac:dyDescent="0.2">
      <c r="A17" s="176"/>
      <c r="B17" s="177" t="s">
        <v>90</v>
      </c>
      <c r="C17" s="177"/>
      <c r="D17" s="177"/>
      <c r="E17" s="177"/>
      <c r="F17" s="177"/>
      <c r="G17" s="178"/>
    </row>
    <row r="18" spans="1:7" x14ac:dyDescent="0.2">
      <c r="A18" s="171" t="s">
        <v>101</v>
      </c>
      <c r="B18" s="172" t="s">
        <v>102</v>
      </c>
      <c r="C18" s="172"/>
      <c r="D18" s="172"/>
      <c r="E18" s="172"/>
      <c r="F18" s="172"/>
      <c r="G18" s="173"/>
    </row>
    <row r="19" spans="1:7" x14ac:dyDescent="0.2">
      <c r="A19" s="176"/>
      <c r="B19" s="177" t="s">
        <v>103</v>
      </c>
      <c r="C19" s="177"/>
      <c r="D19" s="177"/>
      <c r="E19" s="177"/>
      <c r="F19" s="177"/>
      <c r="G19" s="178"/>
    </row>
    <row r="20" spans="1:7" x14ac:dyDescent="0.2">
      <c r="A20" s="171" t="s">
        <v>91</v>
      </c>
      <c r="B20" s="172" t="s">
        <v>92</v>
      </c>
      <c r="C20" s="172" t="s">
        <v>95</v>
      </c>
      <c r="D20" s="172"/>
      <c r="E20" s="172"/>
      <c r="F20" s="172"/>
      <c r="G20" s="173"/>
    </row>
    <row r="21" spans="1:7" x14ac:dyDescent="0.2">
      <c r="A21" s="174"/>
      <c r="B21" s="110" t="s">
        <v>93</v>
      </c>
      <c r="C21" s="110" t="s">
        <v>96</v>
      </c>
      <c r="D21" s="110"/>
      <c r="E21" s="110"/>
      <c r="F21" s="110"/>
      <c r="G21" s="175"/>
    </row>
    <row r="22" spans="1:7" x14ac:dyDescent="0.2">
      <c r="A22" s="176"/>
      <c r="B22" s="177" t="s">
        <v>94</v>
      </c>
      <c r="C22" s="177" t="s">
        <v>97</v>
      </c>
      <c r="D22" s="177"/>
      <c r="E22" s="177"/>
      <c r="F22" s="177"/>
      <c r="G22" s="178"/>
    </row>
    <row r="23" spans="1:7" x14ac:dyDescent="0.2">
      <c r="A23" s="171" t="s">
        <v>98</v>
      </c>
      <c r="B23" s="172" t="s">
        <v>99</v>
      </c>
      <c r="C23" s="172"/>
      <c r="D23" s="172"/>
      <c r="E23" s="172"/>
      <c r="F23" s="172"/>
      <c r="G23" s="173"/>
    </row>
    <row r="24" spans="1:7" x14ac:dyDescent="0.2">
      <c r="A24" s="176"/>
      <c r="B24" s="177" t="s">
        <v>100</v>
      </c>
      <c r="C24" s="177"/>
      <c r="D24" s="177"/>
      <c r="E24" s="177"/>
      <c r="F24" s="177"/>
      <c r="G24" s="178"/>
    </row>
    <row r="25" spans="1:7" x14ac:dyDescent="0.2">
      <c r="A25" s="170"/>
      <c r="B25" s="111"/>
      <c r="C25" s="170" t="s">
        <v>248</v>
      </c>
      <c r="D25" s="170" t="s">
        <v>249</v>
      </c>
      <c r="E25" s="111"/>
      <c r="F25" s="111"/>
      <c r="G25" s="111"/>
    </row>
    <row r="26" spans="1:7" x14ac:dyDescent="0.2">
      <c r="A26" s="179" t="s">
        <v>246</v>
      </c>
      <c r="B26" s="180" t="s">
        <v>240</v>
      </c>
      <c r="C26" s="180" t="str">
        <f>B21</f>
        <v>COA</v>
      </c>
      <c r="D26" s="180" t="str">
        <f>B22</f>
        <v>MSC</v>
      </c>
      <c r="E26" s="180"/>
      <c r="F26" s="180"/>
      <c r="G26" s="181"/>
    </row>
    <row r="27" spans="1:7" x14ac:dyDescent="0.2">
      <c r="A27" s="182"/>
      <c r="B27" s="111" t="s">
        <v>247</v>
      </c>
      <c r="C27" s="111" t="str">
        <f>B20</f>
        <v>EUCC</v>
      </c>
      <c r="D27" s="111" t="str">
        <f>B22</f>
        <v>MSC</v>
      </c>
      <c r="E27" s="111"/>
      <c r="F27" s="111"/>
      <c r="G27" s="183"/>
    </row>
    <row r="28" spans="1:7" x14ac:dyDescent="0.2">
      <c r="A28" s="184"/>
      <c r="B28" s="185" t="s">
        <v>243</v>
      </c>
      <c r="C28" s="185" t="s">
        <v>250</v>
      </c>
      <c r="D28" s="185"/>
      <c r="E28" s="185"/>
      <c r="F28" s="185"/>
      <c r="G28" s="186"/>
    </row>
    <row r="32" spans="1:7" x14ac:dyDescent="0.2">
      <c r="A32" s="222" t="s">
        <v>11</v>
      </c>
      <c r="B32" s="223"/>
      <c r="C32" s="108" t="s">
        <v>251</v>
      </c>
      <c r="D32" s="107"/>
    </row>
    <row r="33" spans="1:3" x14ac:dyDescent="0.2">
      <c r="A33" s="221" t="s">
        <v>6</v>
      </c>
      <c r="B33" s="32" t="s">
        <v>33</v>
      </c>
      <c r="C33" s="215" t="s">
        <v>240</v>
      </c>
    </row>
    <row r="34" spans="1:3" x14ac:dyDescent="0.2">
      <c r="A34" s="221"/>
      <c r="B34" s="5" t="s">
        <v>34</v>
      </c>
      <c r="C34" s="216"/>
    </row>
    <row r="35" spans="1:3" x14ac:dyDescent="0.2">
      <c r="A35" s="221"/>
      <c r="B35" s="5" t="s">
        <v>35</v>
      </c>
      <c r="C35" s="216"/>
    </row>
    <row r="36" spans="1:3" x14ac:dyDescent="0.2">
      <c r="A36" s="221"/>
      <c r="B36" s="5" t="s">
        <v>7</v>
      </c>
      <c r="C36" s="216"/>
    </row>
    <row r="37" spans="1:3" x14ac:dyDescent="0.2">
      <c r="A37" s="221"/>
      <c r="B37" s="5" t="s">
        <v>60</v>
      </c>
      <c r="C37" s="216"/>
    </row>
    <row r="38" spans="1:3" x14ac:dyDescent="0.2">
      <c r="A38" s="221"/>
      <c r="B38" s="5" t="s">
        <v>21</v>
      </c>
      <c r="C38" s="216"/>
    </row>
    <row r="39" spans="1:3" x14ac:dyDescent="0.2">
      <c r="A39" s="221"/>
      <c r="B39" s="5" t="s">
        <v>61</v>
      </c>
      <c r="C39" s="216"/>
    </row>
    <row r="40" spans="1:3" x14ac:dyDescent="0.2">
      <c r="A40" s="221"/>
      <c r="B40" s="5" t="s">
        <v>22</v>
      </c>
      <c r="C40" s="216"/>
    </row>
    <row r="41" spans="1:3" x14ac:dyDescent="0.2">
      <c r="A41" s="221"/>
      <c r="B41" s="5" t="s">
        <v>17</v>
      </c>
      <c r="C41" s="216"/>
    </row>
    <row r="42" spans="1:3" x14ac:dyDescent="0.2">
      <c r="A42" s="221"/>
      <c r="B42" s="5" t="s">
        <v>62</v>
      </c>
      <c r="C42" s="216"/>
    </row>
    <row r="43" spans="1:3" x14ac:dyDescent="0.2">
      <c r="A43" s="224"/>
      <c r="B43" s="5" t="s">
        <v>18</v>
      </c>
      <c r="C43" s="216"/>
    </row>
    <row r="44" spans="1:3" x14ac:dyDescent="0.2">
      <c r="A44" s="225" t="s">
        <v>8</v>
      </c>
      <c r="B44" s="5" t="s">
        <v>9</v>
      </c>
      <c r="C44" s="216"/>
    </row>
    <row r="45" spans="1:3" x14ac:dyDescent="0.2">
      <c r="A45" s="225"/>
      <c r="B45" s="20" t="s">
        <v>19</v>
      </c>
      <c r="C45" s="216"/>
    </row>
    <row r="46" spans="1:3" x14ac:dyDescent="0.2">
      <c r="A46" s="225"/>
      <c r="B46" s="20" t="s">
        <v>29</v>
      </c>
      <c r="C46" s="216"/>
    </row>
    <row r="47" spans="1:3" x14ac:dyDescent="0.2">
      <c r="A47" s="218" t="s">
        <v>14</v>
      </c>
      <c r="B47" s="219"/>
      <c r="C47" s="217"/>
    </row>
    <row r="48" spans="1:3" x14ac:dyDescent="0.2">
      <c r="A48" s="220" t="s">
        <v>6</v>
      </c>
      <c r="B48" s="5" t="s">
        <v>23</v>
      </c>
      <c r="C48" s="215" t="s">
        <v>241</v>
      </c>
    </row>
    <row r="49" spans="1:3" x14ac:dyDescent="0.2">
      <c r="A49" s="221"/>
      <c r="B49" s="5" t="s">
        <v>24</v>
      </c>
      <c r="C49" s="216"/>
    </row>
    <row r="50" spans="1:3" x14ac:dyDescent="0.2">
      <c r="A50" s="221"/>
      <c r="B50" s="5" t="s">
        <v>25</v>
      </c>
      <c r="C50" s="216"/>
    </row>
    <row r="51" spans="1:3" x14ac:dyDescent="0.2">
      <c r="A51" s="218" t="s">
        <v>30</v>
      </c>
      <c r="B51" s="219"/>
      <c r="C51" s="217"/>
    </row>
    <row r="52" spans="1:3" x14ac:dyDescent="0.2">
      <c r="A52" s="220" t="s">
        <v>39</v>
      </c>
      <c r="B52" s="5" t="s">
        <v>36</v>
      </c>
      <c r="C52" s="215" t="s">
        <v>242</v>
      </c>
    </row>
    <row r="53" spans="1:3" x14ac:dyDescent="0.2">
      <c r="A53" s="221"/>
      <c r="B53" s="5" t="s">
        <v>52</v>
      </c>
      <c r="C53" s="216"/>
    </row>
    <row r="54" spans="1:3" x14ac:dyDescent="0.2">
      <c r="A54" s="221"/>
      <c r="B54" s="5" t="s">
        <v>37</v>
      </c>
      <c r="C54" s="216"/>
    </row>
    <row r="55" spans="1:3" x14ac:dyDescent="0.2">
      <c r="A55" s="221"/>
      <c r="B55" s="5" t="s">
        <v>40</v>
      </c>
      <c r="C55" s="216"/>
    </row>
    <row r="56" spans="1:3" x14ac:dyDescent="0.2">
      <c r="A56" s="221"/>
      <c r="B56" s="5" t="s">
        <v>45</v>
      </c>
      <c r="C56" s="216"/>
    </row>
    <row r="57" spans="1:3" x14ac:dyDescent="0.2">
      <c r="A57" s="221"/>
      <c r="B57" s="5" t="s">
        <v>41</v>
      </c>
      <c r="C57" s="216"/>
    </row>
    <row r="58" spans="1:3" x14ac:dyDescent="0.2">
      <c r="A58" s="221"/>
      <c r="B58" s="5" t="s">
        <v>42</v>
      </c>
      <c r="C58" s="216"/>
    </row>
    <row r="59" spans="1:3" x14ac:dyDescent="0.2">
      <c r="A59" s="218" t="s">
        <v>43</v>
      </c>
      <c r="B59" s="219"/>
      <c r="C59" s="217"/>
    </row>
    <row r="60" spans="1:3" x14ac:dyDescent="0.2">
      <c r="A60" s="220" t="s">
        <v>6</v>
      </c>
      <c r="B60" s="5" t="s">
        <v>26</v>
      </c>
      <c r="C60" s="215" t="s">
        <v>243</v>
      </c>
    </row>
    <row r="61" spans="1:3" x14ac:dyDescent="0.2">
      <c r="A61" s="221"/>
      <c r="B61" s="5" t="s">
        <v>27</v>
      </c>
      <c r="C61" s="216"/>
    </row>
    <row r="62" spans="1:3" x14ac:dyDescent="0.2">
      <c r="A62" s="221"/>
      <c r="B62" s="5" t="s">
        <v>31</v>
      </c>
      <c r="C62" s="216"/>
    </row>
    <row r="63" spans="1:3" x14ac:dyDescent="0.2">
      <c r="A63" s="221"/>
      <c r="B63" s="5" t="s">
        <v>51</v>
      </c>
      <c r="C63" s="216"/>
    </row>
    <row r="64" spans="1:3" x14ac:dyDescent="0.2">
      <c r="A64" s="221"/>
      <c r="B64" s="5" t="s">
        <v>28</v>
      </c>
      <c r="C64" s="216"/>
    </row>
    <row r="65" spans="1:3" x14ac:dyDescent="0.2">
      <c r="A65" s="218" t="s">
        <v>15</v>
      </c>
      <c r="B65" s="219"/>
      <c r="C65" s="217"/>
    </row>
    <row r="66" spans="1:3" x14ac:dyDescent="0.2">
      <c r="A66" s="213" t="s">
        <v>59</v>
      </c>
      <c r="B66" s="214"/>
      <c r="C66" s="215" t="s">
        <v>244</v>
      </c>
    </row>
    <row r="67" spans="1:3" x14ac:dyDescent="0.2">
      <c r="A67" s="213" t="s">
        <v>53</v>
      </c>
      <c r="B67" s="214"/>
      <c r="C67" s="216"/>
    </row>
    <row r="68" spans="1:3" x14ac:dyDescent="0.2">
      <c r="A68" s="213" t="s">
        <v>65</v>
      </c>
      <c r="B68" s="214"/>
      <c r="C68" s="216"/>
    </row>
    <row r="69" spans="1:3" x14ac:dyDescent="0.2">
      <c r="A69" s="213" t="s">
        <v>54</v>
      </c>
      <c r="B69" s="214"/>
      <c r="C69" s="216"/>
    </row>
    <row r="70" spans="1:3" x14ac:dyDescent="0.2">
      <c r="A70" s="218" t="s">
        <v>49</v>
      </c>
      <c r="B70" s="219"/>
      <c r="C70" s="217"/>
    </row>
    <row r="71" spans="1:3" x14ac:dyDescent="0.2">
      <c r="A71" s="213" t="s">
        <v>47</v>
      </c>
      <c r="B71" s="214"/>
      <c r="C71" s="215" t="s">
        <v>244</v>
      </c>
    </row>
    <row r="72" spans="1:3" x14ac:dyDescent="0.2">
      <c r="A72" s="213" t="s">
        <v>32</v>
      </c>
      <c r="B72" s="214"/>
      <c r="C72" s="216"/>
    </row>
    <row r="73" spans="1:3" x14ac:dyDescent="0.2">
      <c r="A73" s="218" t="s">
        <v>55</v>
      </c>
      <c r="B73" s="219"/>
      <c r="C73" s="217"/>
    </row>
    <row r="74" spans="1:3" ht="16" x14ac:dyDescent="0.2">
      <c r="A74" s="213" t="s">
        <v>16</v>
      </c>
      <c r="B74" s="214"/>
      <c r="C74" s="109" t="s">
        <v>243</v>
      </c>
    </row>
    <row r="75" spans="1:3" ht="16" x14ac:dyDescent="0.2">
      <c r="A75" s="213" t="s">
        <v>10</v>
      </c>
      <c r="B75" s="214"/>
      <c r="C75" s="109" t="s">
        <v>243</v>
      </c>
    </row>
    <row r="76" spans="1:3" ht="16" x14ac:dyDescent="0.2">
      <c r="A76" s="213" t="s">
        <v>44</v>
      </c>
      <c r="B76" s="214"/>
      <c r="C76" s="109" t="s">
        <v>245</v>
      </c>
    </row>
    <row r="79" spans="1:3" x14ac:dyDescent="0.2">
      <c r="A79" t="s">
        <v>419</v>
      </c>
    </row>
  </sheetData>
  <mergeCells count="27">
    <mergeCell ref="A51:B51"/>
    <mergeCell ref="A32:B32"/>
    <mergeCell ref="A33:A43"/>
    <mergeCell ref="A44:A46"/>
    <mergeCell ref="A47:B47"/>
    <mergeCell ref="A48:A50"/>
    <mergeCell ref="A59:B59"/>
    <mergeCell ref="A60:A64"/>
    <mergeCell ref="A65:B65"/>
    <mergeCell ref="A66:B66"/>
    <mergeCell ref="A67:B67"/>
    <mergeCell ref="A74:B74"/>
    <mergeCell ref="A75:B75"/>
    <mergeCell ref="A76:B76"/>
    <mergeCell ref="C33:C47"/>
    <mergeCell ref="C48:C51"/>
    <mergeCell ref="C52:C59"/>
    <mergeCell ref="C60:C65"/>
    <mergeCell ref="C66:C70"/>
    <mergeCell ref="C71:C73"/>
    <mergeCell ref="A68:B68"/>
    <mergeCell ref="A69:B69"/>
    <mergeCell ref="A70:B70"/>
    <mergeCell ref="A71:B71"/>
    <mergeCell ref="A72:B72"/>
    <mergeCell ref="A73:B73"/>
    <mergeCell ref="A52:A5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E90F1-07CF-924E-B4AA-DD1A0BC38628}">
  <dimension ref="A1:B13"/>
  <sheetViews>
    <sheetView workbookViewId="0">
      <selection activeCell="B14" sqref="B14"/>
    </sheetView>
  </sheetViews>
  <sheetFormatPr baseColWidth="10" defaultRowHeight="15" x14ac:dyDescent="0.2"/>
  <sheetData>
    <row r="1" spans="1:2" x14ac:dyDescent="0.2">
      <c r="A1" t="s">
        <v>357</v>
      </c>
    </row>
    <row r="3" spans="1:2" x14ac:dyDescent="0.2">
      <c r="A3" t="s">
        <v>360</v>
      </c>
    </row>
    <row r="4" spans="1:2" x14ac:dyDescent="0.2">
      <c r="B4" t="s">
        <v>359</v>
      </c>
    </row>
    <row r="5" spans="1:2" x14ac:dyDescent="0.2">
      <c r="B5" t="s">
        <v>358</v>
      </c>
    </row>
    <row r="6" spans="1:2" x14ac:dyDescent="0.2">
      <c r="B6" t="s">
        <v>361</v>
      </c>
    </row>
    <row r="8" spans="1:2" x14ac:dyDescent="0.2">
      <c r="A8" t="s">
        <v>362</v>
      </c>
      <c r="B8" t="s">
        <v>363</v>
      </c>
    </row>
    <row r="9" spans="1:2" x14ac:dyDescent="0.2">
      <c r="B9" t="s">
        <v>364</v>
      </c>
    </row>
    <row r="10" spans="1:2" x14ac:dyDescent="0.2">
      <c r="B10" t="s">
        <v>420</v>
      </c>
    </row>
    <row r="12" spans="1:2" x14ac:dyDescent="0.2">
      <c r="A12" t="s">
        <v>421</v>
      </c>
      <c r="B12" t="s">
        <v>422</v>
      </c>
    </row>
    <row r="13" spans="1:2" x14ac:dyDescent="0.2">
      <c r="B13" t="s">
        <v>423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A8C11-DCBF-7345-B42D-55B1545C5270}">
  <dimension ref="A1:AT34"/>
  <sheetViews>
    <sheetView topLeftCell="C1" zoomScale="107" workbookViewId="0">
      <selection activeCell="AO12" sqref="AO12"/>
    </sheetView>
  </sheetViews>
  <sheetFormatPr baseColWidth="10" defaultRowHeight="15" x14ac:dyDescent="0.2"/>
  <cols>
    <col min="4" max="4" width="15.83203125" customWidth="1"/>
    <col min="13" max="13" width="13.33203125" bestFit="1" customWidth="1"/>
    <col min="16" max="16" width="21.5" customWidth="1"/>
    <col min="18" max="18" width="16.1640625" customWidth="1"/>
  </cols>
  <sheetData>
    <row r="1" spans="1:46" x14ac:dyDescent="0.2">
      <c r="A1" s="197" t="s">
        <v>418</v>
      </c>
      <c r="B1" s="197"/>
      <c r="C1" s="197"/>
      <c r="D1" s="197"/>
      <c r="E1" s="197"/>
      <c r="F1" s="197"/>
      <c r="G1" s="197"/>
      <c r="H1" s="197"/>
      <c r="I1" s="197"/>
      <c r="J1" s="197"/>
      <c r="L1" s="110" t="s">
        <v>381</v>
      </c>
      <c r="M1" s="110"/>
      <c r="N1" s="110"/>
      <c r="O1" s="110"/>
      <c r="P1" s="110"/>
      <c r="R1" s="105" t="s">
        <v>400</v>
      </c>
      <c r="S1" s="105"/>
      <c r="T1" s="105"/>
      <c r="U1" s="105"/>
      <c r="X1" t="s">
        <v>390</v>
      </c>
      <c r="AD1" t="s">
        <v>396</v>
      </c>
    </row>
    <row r="2" spans="1:46" s="85" customFormat="1" ht="80" x14ac:dyDescent="0.2">
      <c r="B2" s="106" t="s">
        <v>365</v>
      </c>
      <c r="C2" s="106" t="s">
        <v>366</v>
      </c>
      <c r="D2" s="106" t="s">
        <v>367</v>
      </c>
      <c r="E2" s="106" t="s">
        <v>372</v>
      </c>
      <c r="F2" s="106" t="s">
        <v>376</v>
      </c>
      <c r="G2" s="106" t="s">
        <v>368</v>
      </c>
      <c r="H2" s="106" t="s">
        <v>375</v>
      </c>
      <c r="I2" s="106" t="s">
        <v>239</v>
      </c>
      <c r="J2" s="106" t="s">
        <v>388</v>
      </c>
      <c r="L2" s="106" t="s">
        <v>382</v>
      </c>
      <c r="M2" s="106" t="s">
        <v>383</v>
      </c>
      <c r="N2" s="106" t="s">
        <v>384</v>
      </c>
      <c r="O2" s="106" t="s">
        <v>239</v>
      </c>
      <c r="P2" s="106" t="s">
        <v>413</v>
      </c>
      <c r="R2" s="106" t="s">
        <v>383</v>
      </c>
      <c r="S2" s="106" t="s">
        <v>384</v>
      </c>
      <c r="T2" s="106" t="s">
        <v>411</v>
      </c>
      <c r="U2" s="106" t="s">
        <v>412</v>
      </c>
      <c r="X2" s="106" t="str">
        <f>B2</f>
        <v>Lot number / mã lô hàng</v>
      </c>
      <c r="Y2" s="106" t="str">
        <f>C2</f>
        <v>Ngày nhập kho</v>
      </c>
      <c r="Z2" s="209" t="s">
        <v>391</v>
      </c>
      <c r="AA2" s="106" t="str">
        <f>J2</f>
        <v>Giấy tờ của lô hàng</v>
      </c>
      <c r="AD2" s="106" t="str">
        <f t="shared" ref="AD2:AG3" si="0">X2</f>
        <v>Lot number / mã lô hàng</v>
      </c>
      <c r="AE2" s="106" t="str">
        <f t="shared" si="0"/>
        <v>Ngày nhập kho</v>
      </c>
      <c r="AF2" s="106" t="str">
        <f t="shared" si="0"/>
        <v>Khối lượng NL</v>
      </c>
      <c r="AG2" s="106" t="str">
        <f t="shared" si="0"/>
        <v>Giấy tờ của lô hàng</v>
      </c>
      <c r="AH2" s="106" t="s">
        <v>397</v>
      </c>
      <c r="AI2" s="106" t="s">
        <v>404</v>
      </c>
      <c r="AJ2" s="106" t="str">
        <f>F2</f>
        <v>Khối lượng nguyên liệu sử dụng (KG)</v>
      </c>
      <c r="AK2" s="106" t="str">
        <f t="shared" ref="AK2" si="1">G2</f>
        <v>Định mức</v>
      </c>
      <c r="AL2" s="106" t="s">
        <v>399</v>
      </c>
      <c r="AM2" s="106" t="s">
        <v>398</v>
      </c>
      <c r="AN2" s="106" t="str">
        <f>O2</f>
        <v>Thị trường xuất khẩu</v>
      </c>
      <c r="AO2" s="106" t="s">
        <v>401</v>
      </c>
      <c r="AQ2" s="106" t="s">
        <v>405</v>
      </c>
      <c r="AR2" s="106" t="s">
        <v>406</v>
      </c>
      <c r="AS2" s="106" t="s">
        <v>407</v>
      </c>
      <c r="AT2" s="106" t="s">
        <v>408</v>
      </c>
    </row>
    <row r="3" spans="1:46" x14ac:dyDescent="0.2">
      <c r="B3" s="196" t="s">
        <v>392</v>
      </c>
      <c r="C3" s="149">
        <v>46023</v>
      </c>
      <c r="D3" t="s">
        <v>369</v>
      </c>
      <c r="E3" s="90">
        <v>2000</v>
      </c>
      <c r="F3" s="90">
        <v>4000</v>
      </c>
      <c r="G3" s="90">
        <f>F3/E3</f>
        <v>2</v>
      </c>
      <c r="H3" s="90"/>
      <c r="I3" t="s">
        <v>240</v>
      </c>
      <c r="J3" t="s">
        <v>240</v>
      </c>
      <c r="L3" s="198" t="s">
        <v>385</v>
      </c>
      <c r="M3" s="199" t="s">
        <v>369</v>
      </c>
      <c r="N3" s="200">
        <v>1500</v>
      </c>
      <c r="O3" s="199" t="s">
        <v>240</v>
      </c>
      <c r="P3" s="201" t="s">
        <v>414</v>
      </c>
      <c r="R3" s="105" t="s">
        <v>369</v>
      </c>
      <c r="S3" s="208">
        <f ca="1">SUMIF($D$3:$E$25,R3,$E$3:$E$25)</f>
        <v>3000</v>
      </c>
      <c r="T3" s="208">
        <f ca="1">SUMIF($M$3:$N$7,R3,$N$3:$N$7)</f>
        <v>1500</v>
      </c>
      <c r="U3" s="208">
        <f t="shared" ref="U3:U8" ca="1" si="2">S3-T3</f>
        <v>1500</v>
      </c>
      <c r="X3" s="105" t="str">
        <f>B3</f>
        <v>NL 117</v>
      </c>
      <c r="Y3" s="155">
        <f>C3</f>
        <v>46023</v>
      </c>
      <c r="Z3" s="210">
        <f>F9</f>
        <v>13600</v>
      </c>
      <c r="AA3" s="105" t="str">
        <f>J3</f>
        <v>USA</v>
      </c>
      <c r="AD3" t="str">
        <f t="shared" si="0"/>
        <v>NL 117</v>
      </c>
      <c r="AE3" s="149">
        <f t="shared" si="0"/>
        <v>46023</v>
      </c>
      <c r="AF3" s="91">
        <f t="shared" si="0"/>
        <v>13600</v>
      </c>
      <c r="AG3" t="str">
        <f t="shared" si="0"/>
        <v>USA</v>
      </c>
      <c r="AH3" t="s">
        <v>369</v>
      </c>
      <c r="AI3" s="143">
        <f>N3</f>
        <v>1500</v>
      </c>
      <c r="AJ3" s="90">
        <f>AI3*AK3</f>
        <v>3000</v>
      </c>
      <c r="AK3" s="143">
        <f>G3</f>
        <v>2</v>
      </c>
      <c r="AL3" s="190">
        <f>MAX(0,AF3-AJ5)</f>
        <v>0</v>
      </c>
      <c r="AM3" t="str">
        <f>L3</f>
        <v>X01</v>
      </c>
      <c r="AN3" t="str">
        <f>O3</f>
        <v>USA</v>
      </c>
      <c r="AO3" t="str">
        <f>IF(AJ5&gt;AF3,"Thiếu NL","OK")</f>
        <v>Thiếu NL</v>
      </c>
      <c r="AQ3" s="90">
        <f>AI3</f>
        <v>1500</v>
      </c>
      <c r="AR3" s="90">
        <f>AK3</f>
        <v>2</v>
      </c>
      <c r="AS3" s="90">
        <f>AJ3</f>
        <v>3000</v>
      </c>
    </row>
    <row r="4" spans="1:46" x14ac:dyDescent="0.2">
      <c r="D4" t="s">
        <v>371</v>
      </c>
      <c r="E4" s="90">
        <v>3000</v>
      </c>
      <c r="F4" s="90">
        <v>6500</v>
      </c>
      <c r="G4" s="90">
        <f t="shared" ref="G4:G6" si="3">F4/E4</f>
        <v>2.1666666666666665</v>
      </c>
      <c r="H4" s="90"/>
      <c r="I4" t="s">
        <v>240</v>
      </c>
      <c r="L4" s="202"/>
      <c r="M4" s="188" t="s">
        <v>371</v>
      </c>
      <c r="N4" s="189">
        <v>7000</v>
      </c>
      <c r="O4" s="188"/>
      <c r="P4" s="203"/>
      <c r="R4" s="105" t="s">
        <v>371</v>
      </c>
      <c r="S4" s="208">
        <f t="shared" ref="S4:S8" ca="1" si="4">SUMIF($D$3:$E$25,R4,$E$3:$E$25)</f>
        <v>7500</v>
      </c>
      <c r="T4" s="208">
        <f ca="1">SUMIF($M$3:$N$7,R4,$N$3:$N$7)</f>
        <v>7000</v>
      </c>
      <c r="U4" s="208">
        <f t="shared" ca="1" si="2"/>
        <v>500</v>
      </c>
      <c r="X4" s="105" t="str">
        <f>B11</f>
        <v>NL 118</v>
      </c>
      <c r="Y4" s="155">
        <f>C11</f>
        <v>46054</v>
      </c>
      <c r="Z4" s="210">
        <f>F17</f>
        <v>11500</v>
      </c>
      <c r="AA4" s="105" t="str">
        <f>J11</f>
        <v>EU</v>
      </c>
      <c r="AE4" s="149"/>
      <c r="AH4" t="str">
        <f>M4</f>
        <v>Cá cắt khúc USA</v>
      </c>
      <c r="AI4" s="90">
        <f>N4</f>
        <v>7000</v>
      </c>
      <c r="AJ4" s="189">
        <f>AI4*AK4</f>
        <v>15166.666666666666</v>
      </c>
      <c r="AK4" s="143">
        <f>G4</f>
        <v>2.1666666666666665</v>
      </c>
      <c r="AO4" t="s">
        <v>403</v>
      </c>
      <c r="AQ4" s="90">
        <v>5000</v>
      </c>
      <c r="AR4" s="90">
        <v>2.12</v>
      </c>
      <c r="AS4" s="189">
        <f>AQ4*AR4</f>
        <v>10600</v>
      </c>
    </row>
    <row r="5" spans="1:46" x14ac:dyDescent="0.2">
      <c r="D5" t="s">
        <v>370</v>
      </c>
      <c r="E5" s="90">
        <v>1000</v>
      </c>
      <c r="F5" s="90">
        <v>1900</v>
      </c>
      <c r="G5" s="90">
        <f t="shared" si="3"/>
        <v>1.9</v>
      </c>
      <c r="H5" s="90"/>
      <c r="I5" t="s">
        <v>142</v>
      </c>
      <c r="L5" s="198" t="s">
        <v>386</v>
      </c>
      <c r="M5" s="199" t="s">
        <v>370</v>
      </c>
      <c r="N5" s="200">
        <v>3800</v>
      </c>
      <c r="O5" s="199" t="s">
        <v>142</v>
      </c>
      <c r="P5" s="201" t="s">
        <v>414</v>
      </c>
      <c r="R5" s="105" t="s">
        <v>370</v>
      </c>
      <c r="S5" s="208">
        <f t="shared" ca="1" si="4"/>
        <v>6000</v>
      </c>
      <c r="T5" s="208">
        <f ca="1">SUMIF($M$3:$N$8,R5,$N$3:$N$8)</f>
        <v>4800</v>
      </c>
      <c r="U5" s="208">
        <f t="shared" ca="1" si="2"/>
        <v>1200</v>
      </c>
      <c r="X5" s="105" t="str">
        <f>B19</f>
        <v>NL 119</v>
      </c>
      <c r="Y5" s="155">
        <f>C19</f>
        <v>46082</v>
      </c>
      <c r="Z5" s="210">
        <f>F25</f>
        <v>20200</v>
      </c>
      <c r="AA5" s="105" t="str">
        <f>J19</f>
        <v>USA</v>
      </c>
      <c r="AE5" s="149"/>
      <c r="AJ5" s="191">
        <f>SUM(AJ3:AJ4)</f>
        <v>18166.666666666664</v>
      </c>
      <c r="AO5" s="143">
        <f>AJ5-AF3</f>
        <v>4566.6666666666642</v>
      </c>
      <c r="AS5" s="143">
        <f>SUM(AS3:AS4)</f>
        <v>13600</v>
      </c>
      <c r="AT5" t="str">
        <f>IF(AS5=AF3,"OK",IF(AF3&gt;AS5,"Còn NL","thiếu NL"))</f>
        <v>OK</v>
      </c>
    </row>
    <row r="6" spans="1:46" x14ac:dyDescent="0.2">
      <c r="D6" t="s">
        <v>378</v>
      </c>
      <c r="E6" s="90">
        <v>500</v>
      </c>
      <c r="F6" s="90">
        <v>1200</v>
      </c>
      <c r="G6" s="90">
        <f t="shared" si="3"/>
        <v>2.4</v>
      </c>
      <c r="H6" s="187"/>
      <c r="I6" t="s">
        <v>380</v>
      </c>
      <c r="L6" s="202"/>
      <c r="M6" s="188" t="s">
        <v>378</v>
      </c>
      <c r="N6" s="189">
        <v>2000</v>
      </c>
      <c r="O6" s="188"/>
      <c r="P6" s="203"/>
      <c r="R6" s="105" t="s">
        <v>378</v>
      </c>
      <c r="S6" s="208">
        <f t="shared" ca="1" si="4"/>
        <v>4700</v>
      </c>
      <c r="T6" s="208">
        <f ca="1">SUMIF($M$3:$N$7,R6,$N$3:$N$7)</f>
        <v>3000</v>
      </c>
      <c r="U6" s="208">
        <f t="shared" ca="1" si="2"/>
        <v>1700</v>
      </c>
      <c r="X6" s="105" t="str">
        <f>B28</f>
        <v>NL 120</v>
      </c>
      <c r="Y6" s="155">
        <f>C28</f>
        <v>46113</v>
      </c>
      <c r="Z6" s="210">
        <f>F34</f>
        <v>20200</v>
      </c>
      <c r="AA6" s="105" t="s">
        <v>243</v>
      </c>
      <c r="AE6" s="149"/>
    </row>
    <row r="7" spans="1:46" x14ac:dyDescent="0.2">
      <c r="D7" t="s">
        <v>373</v>
      </c>
      <c r="E7" s="90">
        <v>1000</v>
      </c>
      <c r="F7" s="90"/>
      <c r="G7" s="90"/>
      <c r="H7" s="187">
        <f>E7/F9</f>
        <v>7.3529411764705885E-2</v>
      </c>
      <c r="I7" t="s">
        <v>377</v>
      </c>
      <c r="L7" s="204" t="s">
        <v>387</v>
      </c>
      <c r="M7" s="205" t="s">
        <v>378</v>
      </c>
      <c r="N7" s="206">
        <v>1000</v>
      </c>
      <c r="O7" s="205" t="s">
        <v>389</v>
      </c>
      <c r="P7" s="207" t="s">
        <v>414</v>
      </c>
      <c r="R7" s="105" t="s">
        <v>373</v>
      </c>
      <c r="S7" s="208">
        <f t="shared" ca="1" si="4"/>
        <v>4250</v>
      </c>
      <c r="T7" s="208">
        <f ca="1">SUMIF($M$3:$N$7,R7,$N$3:$N$7)</f>
        <v>0</v>
      </c>
      <c r="U7" s="208">
        <f t="shared" ca="1" si="2"/>
        <v>4250</v>
      </c>
      <c r="AD7" t="str">
        <f>X4</f>
        <v>NL 118</v>
      </c>
      <c r="AE7" s="149">
        <f>Y4</f>
        <v>46054</v>
      </c>
      <c r="AF7" s="91">
        <f>Z4</f>
        <v>11500</v>
      </c>
      <c r="AG7" t="str">
        <f>AA4</f>
        <v>EU</v>
      </c>
      <c r="AH7" t="str">
        <f>M5</f>
        <v>Loin EU</v>
      </c>
      <c r="AI7">
        <f>N5</f>
        <v>3800</v>
      </c>
      <c r="AJ7" s="143">
        <f>AI7*AK7</f>
        <v>7220</v>
      </c>
      <c r="AK7" s="143">
        <f>G5</f>
        <v>1.9</v>
      </c>
      <c r="AL7" s="193">
        <f>MAX(0,AF7-AJ9)</f>
        <v>80</v>
      </c>
      <c r="AM7" t="str">
        <f>L5</f>
        <v>X02</v>
      </c>
      <c r="AN7" t="str">
        <f>O5</f>
        <v>EU</v>
      </c>
      <c r="AO7" t="str">
        <f>IF(AJ9&gt;AF7,"Thiếu NL","OK")</f>
        <v>OK</v>
      </c>
      <c r="AQ7">
        <f>AI7</f>
        <v>3800</v>
      </c>
      <c r="AR7" s="143">
        <f>AK7</f>
        <v>1.9</v>
      </c>
      <c r="AS7" s="143">
        <f>AJ7</f>
        <v>7220</v>
      </c>
    </row>
    <row r="8" spans="1:46" x14ac:dyDescent="0.2">
      <c r="D8" s="188" t="s">
        <v>374</v>
      </c>
      <c r="E8" s="189">
        <v>100</v>
      </c>
      <c r="F8" s="189"/>
      <c r="G8" s="90"/>
      <c r="H8" s="187">
        <f>E8/F9</f>
        <v>7.3529411764705881E-3</v>
      </c>
      <c r="I8" t="s">
        <v>377</v>
      </c>
      <c r="L8" s="204" t="s">
        <v>416</v>
      </c>
      <c r="M8" s="205" t="s">
        <v>370</v>
      </c>
      <c r="N8" s="206">
        <v>1000</v>
      </c>
      <c r="O8" s="205" t="s">
        <v>142</v>
      </c>
      <c r="P8" s="211" t="s">
        <v>417</v>
      </c>
      <c r="R8" s="105" t="s">
        <v>374</v>
      </c>
      <c r="S8" s="208">
        <f t="shared" ca="1" si="4"/>
        <v>380</v>
      </c>
      <c r="T8" s="208">
        <f ca="1">SUMIF($M$3:$N$7,R8,$N$3:$N$7)</f>
        <v>0</v>
      </c>
      <c r="U8" s="208">
        <f t="shared" ca="1" si="2"/>
        <v>380</v>
      </c>
      <c r="AE8" s="149"/>
      <c r="AH8" t="str">
        <f>M6</f>
        <v>Cá cắt khúc E2</v>
      </c>
      <c r="AI8">
        <f>N6</f>
        <v>2000</v>
      </c>
      <c r="AJ8" s="192">
        <f>AI8*AK8</f>
        <v>4200</v>
      </c>
      <c r="AK8" s="143">
        <v>2.1</v>
      </c>
      <c r="AO8" t="s">
        <v>402</v>
      </c>
      <c r="AQ8">
        <f>AI8</f>
        <v>2000</v>
      </c>
      <c r="AR8">
        <v>2.14</v>
      </c>
      <c r="AS8" s="188">
        <f>AQ8*AR8</f>
        <v>4280</v>
      </c>
    </row>
    <row r="9" spans="1:46" x14ac:dyDescent="0.2">
      <c r="E9" s="90"/>
      <c r="F9" s="90">
        <f>SUM(F3:F6)</f>
        <v>13600</v>
      </c>
      <c r="G9" s="90"/>
      <c r="H9" s="187"/>
      <c r="P9" s="212"/>
      <c r="AE9" s="149"/>
      <c r="AJ9" s="194">
        <f>SUM(AJ7:AJ8)</f>
        <v>11420</v>
      </c>
      <c r="AS9" s="143">
        <f>SUM(AS7:AS8)</f>
        <v>11500</v>
      </c>
      <c r="AT9" t="str">
        <f>IF(AS9=AF7,"OK",IF(AF7&gt;AS9,"Còn NL","thiếu NL"))</f>
        <v>OK</v>
      </c>
    </row>
    <row r="10" spans="1:46" x14ac:dyDescent="0.2">
      <c r="P10" s="212"/>
      <c r="AE10" s="149"/>
    </row>
    <row r="11" spans="1:46" x14ac:dyDescent="0.2">
      <c r="B11" s="196" t="s">
        <v>393</v>
      </c>
      <c r="C11" s="149">
        <v>46054</v>
      </c>
      <c r="D11" t="s">
        <v>369</v>
      </c>
      <c r="E11" s="90">
        <v>1000</v>
      </c>
      <c r="F11" s="90">
        <v>2100</v>
      </c>
      <c r="G11" s="90">
        <f>F11/E11</f>
        <v>2.1</v>
      </c>
      <c r="H11" s="90"/>
      <c r="I11" t="s">
        <v>240</v>
      </c>
      <c r="J11" t="s">
        <v>142</v>
      </c>
      <c r="AD11" t="str">
        <f>X5</f>
        <v>NL 119</v>
      </c>
      <c r="AE11" s="149">
        <f>Y5</f>
        <v>46082</v>
      </c>
      <c r="AF11" s="91">
        <f>Z5</f>
        <v>20200</v>
      </c>
      <c r="AG11" t="str">
        <f>AA5</f>
        <v>USA</v>
      </c>
      <c r="AH11" t="str">
        <f>AH4</f>
        <v>Cá cắt khúc USA</v>
      </c>
      <c r="AI11">
        <v>2000</v>
      </c>
      <c r="AJ11" s="192">
        <f>AO5</f>
        <v>4566.6666666666642</v>
      </c>
      <c r="AK11" s="143">
        <f>AK4</f>
        <v>2.1666666666666665</v>
      </c>
      <c r="AL11" s="193">
        <f>MAX(0,AF11-AJ13)</f>
        <v>20200</v>
      </c>
      <c r="AM11" t="s">
        <v>385</v>
      </c>
      <c r="AN11" t="s">
        <v>240</v>
      </c>
      <c r="AO11" t="s">
        <v>409</v>
      </c>
      <c r="AQ11">
        <f>AI11</f>
        <v>2000</v>
      </c>
      <c r="AR11">
        <v>2.15</v>
      </c>
      <c r="AS11" s="188">
        <f>AQ11*AR11</f>
        <v>4300</v>
      </c>
    </row>
    <row r="12" spans="1:46" x14ac:dyDescent="0.2">
      <c r="D12" t="s">
        <v>371</v>
      </c>
      <c r="E12" s="90">
        <v>4000</v>
      </c>
      <c r="F12" s="90">
        <v>9000</v>
      </c>
      <c r="G12" s="90">
        <f t="shared" ref="G12:G14" si="5">F12/E12</f>
        <v>2.25</v>
      </c>
      <c r="H12" s="90"/>
      <c r="I12" t="s">
        <v>240</v>
      </c>
      <c r="AE12" s="149"/>
      <c r="AJ12" s="194">
        <f>SUM(AJ11)</f>
        <v>4566.6666666666642</v>
      </c>
      <c r="AS12">
        <f>SUM(AS11)</f>
        <v>4300</v>
      </c>
    </row>
    <row r="13" spans="1:46" x14ac:dyDescent="0.2">
      <c r="D13" t="s">
        <v>370</v>
      </c>
      <c r="E13" s="90">
        <v>0</v>
      </c>
      <c r="F13" s="90">
        <v>0</v>
      </c>
      <c r="G13" s="90" t="e">
        <f t="shared" si="5"/>
        <v>#DIV/0!</v>
      </c>
      <c r="H13" s="90"/>
      <c r="I13" t="s">
        <v>142</v>
      </c>
      <c r="AE13" s="149"/>
      <c r="AM13" t="s">
        <v>410</v>
      </c>
      <c r="AS13" s="195">
        <f>AF11-AS12</f>
        <v>15900</v>
      </c>
      <c r="AT13" t="str">
        <f>IF(AS13=AF11,"OK",IF(AF11&gt;AS13,"Còn NL","thiếu NL"))</f>
        <v>Còn NL</v>
      </c>
    </row>
    <row r="14" spans="1:46" x14ac:dyDescent="0.2">
      <c r="D14" t="s">
        <v>378</v>
      </c>
      <c r="E14" s="90">
        <v>200</v>
      </c>
      <c r="F14" s="90">
        <v>400</v>
      </c>
      <c r="G14" s="90">
        <f t="shared" si="5"/>
        <v>2</v>
      </c>
      <c r="H14" s="187"/>
      <c r="I14" t="s">
        <v>380</v>
      </c>
      <c r="AE14" s="149"/>
    </row>
    <row r="15" spans="1:46" x14ac:dyDescent="0.2">
      <c r="D15" t="s">
        <v>373</v>
      </c>
      <c r="E15" s="90">
        <v>2000</v>
      </c>
      <c r="F15" s="90"/>
      <c r="G15" s="90"/>
      <c r="H15" s="187">
        <f>E15/F17</f>
        <v>0.17391304347826086</v>
      </c>
      <c r="I15" t="s">
        <v>377</v>
      </c>
      <c r="AE15" s="149"/>
    </row>
    <row r="16" spans="1:46" x14ac:dyDescent="0.2">
      <c r="D16" s="188" t="s">
        <v>374</v>
      </c>
      <c r="E16" s="189">
        <v>100</v>
      </c>
      <c r="F16" s="189"/>
      <c r="G16" s="90"/>
      <c r="H16" s="187">
        <f>E16/F17</f>
        <v>8.6956521739130436E-3</v>
      </c>
      <c r="I16" t="s">
        <v>377</v>
      </c>
      <c r="AE16" s="149"/>
    </row>
    <row r="17" spans="2:46" x14ac:dyDescent="0.2">
      <c r="E17" s="90"/>
      <c r="F17" s="90">
        <f>SUM(F11:F14)</f>
        <v>11500</v>
      </c>
      <c r="G17" s="90"/>
      <c r="H17" s="187"/>
      <c r="AD17" t="str">
        <f>X6</f>
        <v>NL 120</v>
      </c>
      <c r="AE17" s="149">
        <f>Y6</f>
        <v>46113</v>
      </c>
      <c r="AF17" s="91">
        <f>Z6</f>
        <v>20200</v>
      </c>
      <c r="AG17" t="str">
        <f>AA6</f>
        <v>Khác</v>
      </c>
      <c r="AH17" t="str">
        <f>M7</f>
        <v>Cá cắt khúc E2</v>
      </c>
      <c r="AI17">
        <f>N7</f>
        <v>1000</v>
      </c>
      <c r="AJ17" s="188">
        <f>AI17*AK17</f>
        <v>2170</v>
      </c>
      <c r="AK17">
        <v>2.17</v>
      </c>
      <c r="AL17" s="193">
        <f>MAX(0,AF17-AJ19)</f>
        <v>20200</v>
      </c>
      <c r="AM17" t="s">
        <v>387</v>
      </c>
      <c r="AN17" t="str">
        <f>O7</f>
        <v>Korea</v>
      </c>
      <c r="AO17" t="s">
        <v>415</v>
      </c>
      <c r="AQ17">
        <f>AI17</f>
        <v>1000</v>
      </c>
      <c r="AR17">
        <v>2.15</v>
      </c>
      <c r="AS17" s="188">
        <f>AQ17*AR17</f>
        <v>2150</v>
      </c>
    </row>
    <row r="18" spans="2:46" x14ac:dyDescent="0.2">
      <c r="AJ18" s="194">
        <f>SUM(AJ17)</f>
        <v>2170</v>
      </c>
      <c r="AS18">
        <f>SUM(AS17)</f>
        <v>2150</v>
      </c>
    </row>
    <row r="19" spans="2:46" x14ac:dyDescent="0.2">
      <c r="B19" s="196" t="s">
        <v>394</v>
      </c>
      <c r="C19" s="149">
        <v>46082</v>
      </c>
      <c r="D19" t="s">
        <v>369</v>
      </c>
      <c r="E19" s="90">
        <v>0</v>
      </c>
      <c r="F19" s="90">
        <v>0</v>
      </c>
      <c r="G19" s="90" t="e">
        <f>F19/E19</f>
        <v>#DIV/0!</v>
      </c>
      <c r="H19" s="90"/>
      <c r="I19" t="s">
        <v>240</v>
      </c>
      <c r="J19" t="s">
        <v>240</v>
      </c>
      <c r="AS19" s="195">
        <f>AF17-AS18</f>
        <v>18050</v>
      </c>
      <c r="AT19" t="str">
        <f>IF(AS19=AF17,"OK",IF(AF17&gt;AS19,"Còn NL","thiếu NL"))</f>
        <v>Còn NL</v>
      </c>
    </row>
    <row r="20" spans="2:46" x14ac:dyDescent="0.2">
      <c r="D20" t="s">
        <v>371</v>
      </c>
      <c r="E20" s="90">
        <v>500</v>
      </c>
      <c r="F20" s="90">
        <v>1200</v>
      </c>
      <c r="G20" s="90">
        <f t="shared" ref="G20:G22" si="6">F20/E20</f>
        <v>2.4</v>
      </c>
      <c r="H20" s="90"/>
      <c r="I20" t="s">
        <v>240</v>
      </c>
    </row>
    <row r="21" spans="2:46" x14ac:dyDescent="0.2">
      <c r="D21" t="s">
        <v>370</v>
      </c>
      <c r="E21" s="90">
        <v>5000</v>
      </c>
      <c r="F21" s="90">
        <v>10000</v>
      </c>
      <c r="G21" s="90">
        <f t="shared" si="6"/>
        <v>2</v>
      </c>
      <c r="H21" s="90"/>
      <c r="I21" t="s">
        <v>142</v>
      </c>
    </row>
    <row r="22" spans="2:46" x14ac:dyDescent="0.2">
      <c r="D22" t="s">
        <v>378</v>
      </c>
      <c r="E22" s="90">
        <v>4000</v>
      </c>
      <c r="F22" s="90">
        <v>9000</v>
      </c>
      <c r="G22" s="90">
        <f t="shared" si="6"/>
        <v>2.25</v>
      </c>
      <c r="H22" s="187"/>
      <c r="I22" t="s">
        <v>379</v>
      </c>
    </row>
    <row r="23" spans="2:46" x14ac:dyDescent="0.2">
      <c r="D23" t="s">
        <v>373</v>
      </c>
      <c r="E23" s="90">
        <v>1250</v>
      </c>
      <c r="F23" s="90"/>
      <c r="G23" s="90"/>
      <c r="H23" s="187">
        <f>E23/F25</f>
        <v>6.1881188118811881E-2</v>
      </c>
      <c r="I23" t="s">
        <v>377</v>
      </c>
    </row>
    <row r="24" spans="2:46" x14ac:dyDescent="0.2">
      <c r="D24" s="188" t="s">
        <v>374</v>
      </c>
      <c r="E24" s="189">
        <v>180</v>
      </c>
      <c r="F24" s="189"/>
      <c r="G24" s="90"/>
      <c r="H24" s="187">
        <f>E24/F25</f>
        <v>8.9108910891089101E-3</v>
      </c>
      <c r="I24" t="s">
        <v>377</v>
      </c>
    </row>
    <row r="25" spans="2:46" x14ac:dyDescent="0.2">
      <c r="E25" s="90"/>
      <c r="F25" s="90">
        <f>SUM(F19:F22)</f>
        <v>20200</v>
      </c>
      <c r="G25" s="90"/>
      <c r="H25" s="187"/>
    </row>
    <row r="28" spans="2:46" x14ac:dyDescent="0.2">
      <c r="B28" s="196" t="s">
        <v>395</v>
      </c>
      <c r="C28" s="149">
        <v>46113</v>
      </c>
      <c r="D28" t="s">
        <v>369</v>
      </c>
      <c r="E28" s="90">
        <v>2500</v>
      </c>
      <c r="F28" s="90">
        <v>0</v>
      </c>
      <c r="G28" s="90">
        <f>F28/E28</f>
        <v>0</v>
      </c>
      <c r="H28" s="90"/>
      <c r="I28" t="s">
        <v>240</v>
      </c>
      <c r="J28" t="s">
        <v>243</v>
      </c>
    </row>
    <row r="29" spans="2:46" x14ac:dyDescent="0.2">
      <c r="D29" t="s">
        <v>371</v>
      </c>
      <c r="E29" s="90">
        <v>1500</v>
      </c>
      <c r="F29" s="90">
        <v>1200</v>
      </c>
      <c r="G29" s="90">
        <f t="shared" ref="G29:G31" si="7">F29/E29</f>
        <v>0.8</v>
      </c>
      <c r="H29" s="90"/>
      <c r="I29" t="s">
        <v>240</v>
      </c>
    </row>
    <row r="30" spans="2:46" x14ac:dyDescent="0.2">
      <c r="D30" t="s">
        <v>370</v>
      </c>
      <c r="E30" s="90">
        <v>800</v>
      </c>
      <c r="F30" s="90">
        <v>10000</v>
      </c>
      <c r="G30" s="90">
        <f t="shared" si="7"/>
        <v>12.5</v>
      </c>
      <c r="H30" s="90"/>
      <c r="I30" t="s">
        <v>142</v>
      </c>
    </row>
    <row r="31" spans="2:46" x14ac:dyDescent="0.2">
      <c r="D31" t="s">
        <v>378</v>
      </c>
      <c r="E31" s="90">
        <v>1700</v>
      </c>
      <c r="F31" s="90">
        <v>9000</v>
      </c>
      <c r="G31" s="90">
        <f t="shared" si="7"/>
        <v>5.2941176470588234</v>
      </c>
      <c r="H31" s="187"/>
      <c r="I31" t="s">
        <v>379</v>
      </c>
    </row>
    <row r="32" spans="2:46" x14ac:dyDescent="0.2">
      <c r="D32" t="s">
        <v>373</v>
      </c>
      <c r="E32" s="90">
        <v>2000</v>
      </c>
      <c r="F32" s="90"/>
      <c r="G32" s="90"/>
      <c r="H32" s="187">
        <f>E32/F34</f>
        <v>9.9009900990099015E-2</v>
      </c>
      <c r="I32" t="s">
        <v>377</v>
      </c>
    </row>
    <row r="33" spans="4:9" x14ac:dyDescent="0.2">
      <c r="D33" s="188" t="s">
        <v>374</v>
      </c>
      <c r="E33" s="189">
        <v>250</v>
      </c>
      <c r="F33" s="189"/>
      <c r="G33" s="90"/>
      <c r="H33" s="187">
        <f>E33/F34</f>
        <v>1.2376237623762377E-2</v>
      </c>
      <c r="I33" t="s">
        <v>377</v>
      </c>
    </row>
    <row r="34" spans="4:9" x14ac:dyDescent="0.2">
      <c r="E34" s="90"/>
      <c r="F34" s="90">
        <f>SUM(F28:F31)</f>
        <v>20200</v>
      </c>
      <c r="G34" s="90"/>
      <c r="H34" s="187"/>
    </row>
  </sheetData>
  <mergeCells count="1">
    <mergeCell ref="P8:P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B973D-B1FC-2245-8A0E-32336B5FB064}">
  <sheetPr>
    <tabColor theme="6" tint="0.79998168889431442"/>
  </sheetPr>
  <dimension ref="A1:AM16"/>
  <sheetViews>
    <sheetView topLeftCell="S1" workbookViewId="0">
      <selection activeCell="E16" sqref="E16"/>
    </sheetView>
  </sheetViews>
  <sheetFormatPr baseColWidth="10" defaultRowHeight="15" x14ac:dyDescent="0.2"/>
  <cols>
    <col min="5" max="5" width="28.5" customWidth="1"/>
    <col min="6" max="6" width="18.33203125" customWidth="1"/>
  </cols>
  <sheetData>
    <row r="1" spans="1:39" x14ac:dyDescent="0.2">
      <c r="A1" t="s">
        <v>209</v>
      </c>
    </row>
    <row r="3" spans="1:39" ht="36" x14ac:dyDescent="0.2">
      <c r="A3" s="274" t="s">
        <v>104</v>
      </c>
      <c r="B3" s="274" t="s">
        <v>105</v>
      </c>
      <c r="C3" s="274" t="s">
        <v>106</v>
      </c>
      <c r="D3" s="276" t="s">
        <v>107</v>
      </c>
      <c r="E3" s="274" t="s">
        <v>108</v>
      </c>
      <c r="F3" s="34"/>
      <c r="G3" s="274" t="s">
        <v>109</v>
      </c>
      <c r="H3" s="274"/>
      <c r="I3" s="274"/>
      <c r="J3" s="278" t="s">
        <v>110</v>
      </c>
      <c r="K3" s="279" t="s">
        <v>111</v>
      </c>
      <c r="L3" s="274" t="s">
        <v>112</v>
      </c>
      <c r="M3" s="274" t="s">
        <v>113</v>
      </c>
      <c r="N3" s="274" t="s">
        <v>114</v>
      </c>
      <c r="O3" s="274" t="s">
        <v>115</v>
      </c>
      <c r="P3" s="274" t="s">
        <v>116</v>
      </c>
      <c r="Q3" s="274" t="s">
        <v>117</v>
      </c>
      <c r="R3" s="282" t="s">
        <v>118</v>
      </c>
      <c r="S3" s="35"/>
      <c r="T3" s="283" t="s">
        <v>119</v>
      </c>
      <c r="U3" s="268"/>
      <c r="V3" s="285" t="s">
        <v>120</v>
      </c>
      <c r="W3" s="267" t="s">
        <v>121</v>
      </c>
      <c r="X3" s="268" t="s">
        <v>122</v>
      </c>
      <c r="Y3" s="36"/>
      <c r="Z3" s="270" t="s">
        <v>123</v>
      </c>
      <c r="AA3" s="268" t="s">
        <v>124</v>
      </c>
      <c r="AB3" s="272" t="s">
        <v>125</v>
      </c>
      <c r="AC3" s="268" t="s">
        <v>126</v>
      </c>
      <c r="AD3" s="267" t="s">
        <v>127</v>
      </c>
      <c r="AE3" s="256" t="s">
        <v>128</v>
      </c>
      <c r="AF3" s="258" t="s">
        <v>129</v>
      </c>
      <c r="AG3" s="260" t="s">
        <v>130</v>
      </c>
      <c r="AH3" s="86" t="s">
        <v>217</v>
      </c>
      <c r="AI3" s="229" t="s">
        <v>210</v>
      </c>
      <c r="AJ3" s="230"/>
      <c r="AK3" s="230"/>
      <c r="AL3" s="230"/>
      <c r="AM3" s="231"/>
    </row>
    <row r="4" spans="1:39" ht="54" x14ac:dyDescent="0.2">
      <c r="A4" s="275"/>
      <c r="B4" s="275"/>
      <c r="C4" s="275"/>
      <c r="D4" s="277"/>
      <c r="E4" s="275"/>
      <c r="F4" s="37" t="s">
        <v>131</v>
      </c>
      <c r="G4" s="37" t="s">
        <v>132</v>
      </c>
      <c r="H4" s="37" t="s">
        <v>89</v>
      </c>
      <c r="I4" s="38" t="s">
        <v>133</v>
      </c>
      <c r="J4" s="279"/>
      <c r="K4" s="280"/>
      <c r="L4" s="275"/>
      <c r="M4" s="275"/>
      <c r="N4" s="275"/>
      <c r="O4" s="275"/>
      <c r="P4" s="275"/>
      <c r="Q4" s="275"/>
      <c r="R4" s="282"/>
      <c r="S4" s="39" t="s">
        <v>202</v>
      </c>
      <c r="T4" s="284"/>
      <c r="U4" s="269"/>
      <c r="V4" s="286"/>
      <c r="W4" s="256"/>
      <c r="X4" s="269"/>
      <c r="Y4" s="40"/>
      <c r="Z4" s="271"/>
      <c r="AA4" s="269"/>
      <c r="AB4" s="273"/>
      <c r="AC4" s="269"/>
      <c r="AD4" s="256"/>
      <c r="AE4" s="257"/>
      <c r="AF4" s="259"/>
      <c r="AG4" s="261"/>
      <c r="AH4" s="87"/>
      <c r="AI4" s="113" t="s">
        <v>212</v>
      </c>
      <c r="AJ4" s="113" t="s">
        <v>213</v>
      </c>
      <c r="AK4" s="113" t="s">
        <v>214</v>
      </c>
      <c r="AL4" s="113" t="s">
        <v>215</v>
      </c>
      <c r="AM4" s="113" t="s">
        <v>216</v>
      </c>
    </row>
    <row r="5" spans="1:39" ht="75" x14ac:dyDescent="0.2">
      <c r="A5" s="41" t="s">
        <v>192</v>
      </c>
      <c r="B5" s="42" t="s">
        <v>134</v>
      </c>
      <c r="C5" s="43" t="s">
        <v>135</v>
      </c>
      <c r="D5" s="44"/>
      <c r="E5" s="45" t="s">
        <v>136</v>
      </c>
      <c r="F5" s="46"/>
      <c r="G5" s="47"/>
      <c r="H5" s="47"/>
      <c r="I5" s="47">
        <v>27000</v>
      </c>
      <c r="J5" s="47"/>
      <c r="K5" s="47"/>
      <c r="L5" s="48" t="s">
        <v>137</v>
      </c>
      <c r="M5" s="49" t="s">
        <v>138</v>
      </c>
      <c r="N5" s="50">
        <v>2.1</v>
      </c>
      <c r="O5" s="51">
        <f>I5*N5</f>
        <v>56700</v>
      </c>
      <c r="P5" s="52" t="s">
        <v>139</v>
      </c>
      <c r="Q5" s="53" t="s">
        <v>140</v>
      </c>
      <c r="R5" s="53" t="s">
        <v>141</v>
      </c>
      <c r="S5" s="54"/>
      <c r="T5" s="55"/>
      <c r="U5" s="56" t="s">
        <v>142</v>
      </c>
      <c r="V5" s="57" t="s">
        <v>143</v>
      </c>
      <c r="W5" s="58" t="s">
        <v>144</v>
      </c>
      <c r="X5" s="59" t="s">
        <v>145</v>
      </c>
      <c r="Y5" s="59"/>
      <c r="Z5" s="60"/>
      <c r="AA5" s="61"/>
      <c r="AB5" s="58" t="s">
        <v>146</v>
      </c>
      <c r="AC5" s="58" t="s">
        <v>147</v>
      </c>
      <c r="AD5" s="61"/>
      <c r="AE5" s="61"/>
      <c r="AF5" s="61" t="s">
        <v>148</v>
      </c>
      <c r="AG5" s="61"/>
      <c r="AH5" s="88"/>
      <c r="AI5" s="113"/>
      <c r="AJ5" s="113"/>
      <c r="AK5" s="113"/>
      <c r="AL5" s="113"/>
      <c r="AM5" s="113"/>
    </row>
    <row r="6" spans="1:39" x14ac:dyDescent="0.2">
      <c r="A6" s="240" t="s">
        <v>193</v>
      </c>
      <c r="B6" s="232" t="s">
        <v>149</v>
      </c>
      <c r="C6" s="240" t="s">
        <v>135</v>
      </c>
      <c r="D6" s="62"/>
      <c r="E6" s="63" t="s">
        <v>150</v>
      </c>
      <c r="F6" s="64"/>
      <c r="G6" s="65">
        <v>10410</v>
      </c>
      <c r="H6" s="65"/>
      <c r="I6" s="65"/>
      <c r="J6" s="66"/>
      <c r="K6" s="66"/>
      <c r="L6" s="245" t="s">
        <v>137</v>
      </c>
      <c r="M6" s="247" t="s">
        <v>151</v>
      </c>
      <c r="N6" s="67">
        <v>2.7</v>
      </c>
      <c r="O6" s="68">
        <f>G6*N6</f>
        <v>28107.000000000004</v>
      </c>
      <c r="P6" s="249" t="s">
        <v>152</v>
      </c>
      <c r="Q6" s="251" t="s">
        <v>151</v>
      </c>
      <c r="R6" s="251" t="s">
        <v>153</v>
      </c>
      <c r="S6" s="69"/>
      <c r="T6" s="70"/>
      <c r="U6" s="232" t="s">
        <v>154</v>
      </c>
      <c r="V6" s="234" t="s">
        <v>143</v>
      </c>
      <c r="W6" s="240" t="s">
        <v>155</v>
      </c>
      <c r="X6" s="240" t="s">
        <v>156</v>
      </c>
      <c r="Y6" s="240"/>
      <c r="Z6" s="253">
        <v>27000</v>
      </c>
      <c r="AA6" s="240" t="s">
        <v>157</v>
      </c>
      <c r="AB6" s="232" t="s">
        <v>158</v>
      </c>
      <c r="AC6" s="232" t="s">
        <v>159</v>
      </c>
      <c r="AD6" s="240"/>
      <c r="AE6" s="240"/>
      <c r="AF6" s="240" t="s">
        <v>160</v>
      </c>
      <c r="AG6" s="61"/>
      <c r="AH6" s="88"/>
      <c r="AI6" s="113"/>
      <c r="AJ6" s="113"/>
      <c r="AK6" s="113"/>
      <c r="AL6" s="113"/>
      <c r="AM6" s="113"/>
    </row>
    <row r="7" spans="1:39" x14ac:dyDescent="0.2">
      <c r="A7" s="241"/>
      <c r="B7" s="262"/>
      <c r="C7" s="241"/>
      <c r="D7" s="62"/>
      <c r="E7" s="63" t="s">
        <v>161</v>
      </c>
      <c r="F7" s="64"/>
      <c r="G7" s="65">
        <v>309</v>
      </c>
      <c r="H7" s="65"/>
      <c r="I7" s="65"/>
      <c r="J7" s="66"/>
      <c r="K7" s="66"/>
      <c r="L7" s="263"/>
      <c r="M7" s="264"/>
      <c r="N7" s="67">
        <v>2</v>
      </c>
      <c r="O7" s="68">
        <f>G7*N7</f>
        <v>618</v>
      </c>
      <c r="P7" s="265"/>
      <c r="Q7" s="266"/>
      <c r="R7" s="266"/>
      <c r="S7" s="69"/>
      <c r="T7" s="70"/>
      <c r="U7" s="262"/>
      <c r="V7" s="281"/>
      <c r="W7" s="241"/>
      <c r="X7" s="241"/>
      <c r="Y7" s="241"/>
      <c r="Z7" s="254"/>
      <c r="AA7" s="241"/>
      <c r="AB7" s="241"/>
      <c r="AC7" s="241"/>
      <c r="AD7" s="241"/>
      <c r="AE7" s="241"/>
      <c r="AF7" s="241"/>
      <c r="AG7" s="61"/>
      <c r="AH7" s="88"/>
      <c r="AI7" s="113"/>
      <c r="AJ7" s="113"/>
      <c r="AK7" s="113"/>
      <c r="AL7" s="113"/>
      <c r="AM7" s="113"/>
    </row>
    <row r="8" spans="1:39" x14ac:dyDescent="0.2">
      <c r="A8" s="241"/>
      <c r="B8" s="262"/>
      <c r="C8" s="241"/>
      <c r="D8" s="62"/>
      <c r="E8" s="63" t="s">
        <v>162</v>
      </c>
      <c r="F8" s="64"/>
      <c r="G8" s="65">
        <v>820</v>
      </c>
      <c r="H8" s="65"/>
      <c r="I8" s="65"/>
      <c r="J8" s="66"/>
      <c r="K8" s="66"/>
      <c r="L8" s="263"/>
      <c r="M8" s="264"/>
      <c r="N8" s="67">
        <v>2.5</v>
      </c>
      <c r="O8" s="68">
        <f>G8*N8</f>
        <v>2050</v>
      </c>
      <c r="P8" s="265"/>
      <c r="Q8" s="266"/>
      <c r="R8" s="266"/>
      <c r="S8" s="69"/>
      <c r="T8" s="70"/>
      <c r="U8" s="262"/>
      <c r="V8" s="281"/>
      <c r="W8" s="241"/>
      <c r="X8" s="241"/>
      <c r="Y8" s="241"/>
      <c r="Z8" s="254"/>
      <c r="AA8" s="241"/>
      <c r="AB8" s="241"/>
      <c r="AC8" s="241"/>
      <c r="AD8" s="241"/>
      <c r="AE8" s="241"/>
      <c r="AF8" s="241"/>
      <c r="AG8" s="61"/>
      <c r="AH8" s="88"/>
      <c r="AI8" s="113"/>
      <c r="AJ8" s="113"/>
      <c r="AK8" s="113"/>
      <c r="AL8" s="113"/>
      <c r="AM8" s="113"/>
    </row>
    <row r="9" spans="1:39" x14ac:dyDescent="0.2">
      <c r="A9" s="241"/>
      <c r="B9" s="262"/>
      <c r="C9" s="241"/>
      <c r="D9" s="62"/>
      <c r="E9" s="63" t="s">
        <v>163</v>
      </c>
      <c r="F9" s="64"/>
      <c r="G9" s="65">
        <v>6070</v>
      </c>
      <c r="H9" s="65"/>
      <c r="I9" s="65"/>
      <c r="J9" s="66"/>
      <c r="K9" s="66"/>
      <c r="L9" s="263"/>
      <c r="M9" s="264"/>
      <c r="N9" s="67">
        <v>2.35</v>
      </c>
      <c r="O9" s="68">
        <f>G9*N9</f>
        <v>14264.5</v>
      </c>
      <c r="P9" s="265"/>
      <c r="Q9" s="266"/>
      <c r="R9" s="266"/>
      <c r="S9" s="69"/>
      <c r="T9" s="70"/>
      <c r="U9" s="262"/>
      <c r="V9" s="281"/>
      <c r="W9" s="241"/>
      <c r="X9" s="241"/>
      <c r="Y9" s="241"/>
      <c r="Z9" s="254"/>
      <c r="AA9" s="241"/>
      <c r="AB9" s="241"/>
      <c r="AC9" s="241"/>
      <c r="AD9" s="241"/>
      <c r="AE9" s="241"/>
      <c r="AF9" s="241"/>
      <c r="AG9" s="61"/>
      <c r="AH9" s="88"/>
      <c r="AI9" s="113"/>
      <c r="AJ9" s="113"/>
      <c r="AK9" s="113"/>
      <c r="AL9" s="113"/>
      <c r="AM9" s="113"/>
    </row>
    <row r="10" spans="1:39" x14ac:dyDescent="0.2">
      <c r="A10" s="242"/>
      <c r="B10" s="233"/>
      <c r="C10" s="242"/>
      <c r="D10" s="62"/>
      <c r="E10" s="63" t="s">
        <v>164</v>
      </c>
      <c r="F10" s="64"/>
      <c r="G10" s="65">
        <v>9391</v>
      </c>
      <c r="H10" s="65"/>
      <c r="I10" s="65"/>
      <c r="J10" s="66"/>
      <c r="K10" s="66"/>
      <c r="L10" s="246"/>
      <c r="M10" s="248"/>
      <c r="N10" s="67">
        <v>1.9</v>
      </c>
      <c r="O10" s="68">
        <f>G10*N10</f>
        <v>17842.899999999998</v>
      </c>
      <c r="P10" s="250"/>
      <c r="Q10" s="252"/>
      <c r="R10" s="252"/>
      <c r="S10" s="69"/>
      <c r="T10" s="70"/>
      <c r="U10" s="233"/>
      <c r="V10" s="235"/>
      <c r="W10" s="242"/>
      <c r="X10" s="242"/>
      <c r="Y10" s="242"/>
      <c r="Z10" s="255"/>
      <c r="AA10" s="242"/>
      <c r="AB10" s="242"/>
      <c r="AC10" s="242"/>
      <c r="AD10" s="242"/>
      <c r="AE10" s="242"/>
      <c r="AF10" s="242"/>
      <c r="AG10" s="61"/>
      <c r="AH10" s="88"/>
      <c r="AI10" s="113"/>
      <c r="AJ10" s="113"/>
      <c r="AK10" s="113"/>
      <c r="AL10" s="113"/>
      <c r="AM10" s="113"/>
    </row>
    <row r="11" spans="1:39" ht="60" x14ac:dyDescent="0.2">
      <c r="A11" s="43" t="s">
        <v>194</v>
      </c>
      <c r="B11" s="56">
        <v>162</v>
      </c>
      <c r="C11" s="43" t="s">
        <v>135</v>
      </c>
      <c r="D11" s="44" t="s">
        <v>165</v>
      </c>
      <c r="E11" s="45" t="s">
        <v>166</v>
      </c>
      <c r="F11" s="71"/>
      <c r="G11" s="72">
        <v>27000</v>
      </c>
      <c r="H11" s="72"/>
      <c r="I11" s="72"/>
      <c r="J11" s="47"/>
      <c r="K11" s="47"/>
      <c r="L11" s="73" t="s">
        <v>137</v>
      </c>
      <c r="M11" s="74" t="s">
        <v>167</v>
      </c>
      <c r="N11" s="50">
        <v>3</v>
      </c>
      <c r="O11" s="51">
        <f>N11*G11</f>
        <v>81000</v>
      </c>
      <c r="P11" s="54" t="s">
        <v>152</v>
      </c>
      <c r="Q11" s="53" t="s">
        <v>151</v>
      </c>
      <c r="R11" s="75" t="s">
        <v>168</v>
      </c>
      <c r="S11" s="54"/>
      <c r="T11" s="55"/>
      <c r="U11" s="56" t="s">
        <v>142</v>
      </c>
      <c r="V11" s="57" t="s">
        <v>143</v>
      </c>
      <c r="W11" s="58" t="s">
        <v>169</v>
      </c>
      <c r="X11" s="76" t="s">
        <v>170</v>
      </c>
      <c r="Y11" s="76">
        <v>943</v>
      </c>
      <c r="Z11" s="60">
        <v>27000</v>
      </c>
      <c r="AA11" s="61" t="s">
        <v>171</v>
      </c>
      <c r="AB11" s="58" t="s">
        <v>172</v>
      </c>
      <c r="AC11" s="58" t="s">
        <v>173</v>
      </c>
      <c r="AD11" s="61"/>
      <c r="AE11" s="61"/>
      <c r="AF11" s="61" t="s">
        <v>174</v>
      </c>
      <c r="AG11" s="61"/>
      <c r="AH11" s="88"/>
      <c r="AI11" s="113"/>
      <c r="AJ11" s="113"/>
      <c r="AK11" s="113"/>
      <c r="AL11" s="113"/>
      <c r="AM11" s="113"/>
    </row>
    <row r="12" spans="1:39" x14ac:dyDescent="0.2">
      <c r="A12" s="240" t="s">
        <v>195</v>
      </c>
      <c r="B12" s="232" t="s">
        <v>149</v>
      </c>
      <c r="C12" s="240" t="s">
        <v>135</v>
      </c>
      <c r="D12" s="243"/>
      <c r="E12" s="63" t="s">
        <v>175</v>
      </c>
      <c r="F12" s="64"/>
      <c r="G12" s="65">
        <v>23343</v>
      </c>
      <c r="H12" s="65"/>
      <c r="I12" s="65"/>
      <c r="J12" s="66"/>
      <c r="K12" s="66"/>
      <c r="L12" s="245" t="s">
        <v>137</v>
      </c>
      <c r="M12" s="247" t="s">
        <v>176</v>
      </c>
      <c r="N12" s="67">
        <v>2.9</v>
      </c>
      <c r="O12" s="68">
        <f>G12*N12</f>
        <v>67694.7</v>
      </c>
      <c r="P12" s="249" t="s">
        <v>152</v>
      </c>
      <c r="Q12" s="251" t="s">
        <v>176</v>
      </c>
      <c r="R12" s="251" t="s">
        <v>177</v>
      </c>
      <c r="S12" s="69"/>
      <c r="T12" s="70"/>
      <c r="U12" s="232" t="s">
        <v>154</v>
      </c>
      <c r="V12" s="234" t="s">
        <v>143</v>
      </c>
      <c r="W12" s="226" t="s">
        <v>178</v>
      </c>
      <c r="X12" s="226" t="s">
        <v>179</v>
      </c>
      <c r="Y12" s="236">
        <v>888</v>
      </c>
      <c r="Z12" s="238">
        <v>27255</v>
      </c>
      <c r="AA12" s="226" t="s">
        <v>157</v>
      </c>
      <c r="AB12" s="226" t="s">
        <v>180</v>
      </c>
      <c r="AC12" s="226" t="s">
        <v>181</v>
      </c>
      <c r="AD12" s="226"/>
      <c r="AE12" s="226"/>
      <c r="AF12" s="226"/>
      <c r="AG12" s="226"/>
      <c r="AH12" s="89"/>
      <c r="AI12" s="113"/>
      <c r="AJ12" s="113"/>
      <c r="AK12" s="113"/>
      <c r="AL12" s="113"/>
      <c r="AM12" s="113"/>
    </row>
    <row r="13" spans="1:39" ht="37" customHeight="1" x14ac:dyDescent="0.2">
      <c r="A13" s="242"/>
      <c r="B13" s="233"/>
      <c r="C13" s="242"/>
      <c r="D13" s="244"/>
      <c r="E13" s="63" t="s">
        <v>182</v>
      </c>
      <c r="F13" s="64"/>
      <c r="G13" s="65">
        <v>3912</v>
      </c>
      <c r="H13" s="65"/>
      <c r="I13" s="65"/>
      <c r="J13" s="66"/>
      <c r="K13" s="66"/>
      <c r="L13" s="246"/>
      <c r="M13" s="248"/>
      <c r="N13" s="67">
        <v>2.5499999999999998</v>
      </c>
      <c r="O13" s="68">
        <f>G13*N13</f>
        <v>9975.5999999999985</v>
      </c>
      <c r="P13" s="250"/>
      <c r="Q13" s="252"/>
      <c r="R13" s="252"/>
      <c r="S13" s="69"/>
      <c r="T13" s="70"/>
      <c r="U13" s="233"/>
      <c r="V13" s="235"/>
      <c r="W13" s="227"/>
      <c r="X13" s="227"/>
      <c r="Y13" s="237"/>
      <c r="Z13" s="239"/>
      <c r="AA13" s="227"/>
      <c r="AB13" s="227"/>
      <c r="AC13" s="227"/>
      <c r="AD13" s="227"/>
      <c r="AE13" s="227"/>
      <c r="AF13" s="227"/>
      <c r="AG13" s="227"/>
      <c r="AH13" s="89"/>
      <c r="AI13" s="113"/>
      <c r="AJ13" s="113"/>
      <c r="AK13" s="113"/>
      <c r="AL13" s="113"/>
      <c r="AM13" s="113"/>
    </row>
    <row r="14" spans="1:39" ht="60" x14ac:dyDescent="0.2">
      <c r="A14" s="77" t="s">
        <v>196</v>
      </c>
      <c r="B14" s="78">
        <v>171</v>
      </c>
      <c r="C14" s="77" t="s">
        <v>135</v>
      </c>
      <c r="D14" s="62"/>
      <c r="E14" s="63" t="s">
        <v>183</v>
      </c>
      <c r="F14" s="64"/>
      <c r="G14" s="79">
        <v>27000</v>
      </c>
      <c r="H14" s="65"/>
      <c r="I14" s="65"/>
      <c r="J14" s="66"/>
      <c r="K14" s="66"/>
      <c r="L14" s="80" t="s">
        <v>137</v>
      </c>
      <c r="M14" s="81" t="s">
        <v>184</v>
      </c>
      <c r="N14" s="67">
        <v>2.2000000000000002</v>
      </c>
      <c r="O14" s="68">
        <f>G14*N14</f>
        <v>59400.000000000007</v>
      </c>
      <c r="P14" s="69" t="s">
        <v>152</v>
      </c>
      <c r="Q14" s="82" t="s">
        <v>185</v>
      </c>
      <c r="R14" s="82" t="s">
        <v>186</v>
      </c>
      <c r="S14" s="69"/>
      <c r="T14" s="70"/>
      <c r="U14" s="78" t="s">
        <v>154</v>
      </c>
      <c r="V14" s="57" t="s">
        <v>143</v>
      </c>
      <c r="W14" s="59" t="s">
        <v>187</v>
      </c>
      <c r="X14" s="76" t="s">
        <v>188</v>
      </c>
      <c r="Y14" s="76"/>
      <c r="Z14" s="60"/>
      <c r="AA14" s="61"/>
      <c r="AB14" s="58" t="s">
        <v>189</v>
      </c>
      <c r="AC14" s="58" t="s">
        <v>190</v>
      </c>
      <c r="AD14" s="61"/>
      <c r="AE14" s="61"/>
      <c r="AF14" s="61" t="s">
        <v>191</v>
      </c>
      <c r="AG14" s="61"/>
      <c r="AH14" s="88"/>
      <c r="AI14" s="113"/>
      <c r="AJ14" s="113"/>
      <c r="AK14" s="113"/>
      <c r="AL14" s="113"/>
      <c r="AM14" s="113"/>
    </row>
    <row r="15" spans="1:39" s="168" customFormat="1" x14ac:dyDescent="0.2">
      <c r="A15" s="168" t="s">
        <v>198</v>
      </c>
    </row>
    <row r="16" spans="1:39" s="133" customFormat="1" ht="72" customHeight="1" x14ac:dyDescent="0.2">
      <c r="A16" s="133" t="s">
        <v>197</v>
      </c>
      <c r="C16" s="133" t="s">
        <v>199</v>
      </c>
      <c r="D16" s="133" t="s">
        <v>200</v>
      </c>
      <c r="F16" s="228" t="s">
        <v>86</v>
      </c>
      <c r="G16" s="228"/>
      <c r="H16" s="228"/>
      <c r="I16" s="228"/>
      <c r="L16" s="133" t="s">
        <v>201</v>
      </c>
      <c r="O16" s="133" t="s">
        <v>228</v>
      </c>
      <c r="U16" s="133" t="s">
        <v>203</v>
      </c>
      <c r="W16" s="133" t="s">
        <v>211</v>
      </c>
      <c r="X16" s="133" t="s">
        <v>204</v>
      </c>
      <c r="Z16" s="133" t="s">
        <v>205</v>
      </c>
      <c r="AA16" s="133" t="s">
        <v>206</v>
      </c>
      <c r="AB16" s="133" t="s">
        <v>207</v>
      </c>
      <c r="AC16" s="133" t="s">
        <v>208</v>
      </c>
      <c r="AH16" s="133" t="s">
        <v>218</v>
      </c>
    </row>
  </sheetData>
  <mergeCells count="72">
    <mergeCell ref="AD3:AD4"/>
    <mergeCell ref="R3:R4"/>
    <mergeCell ref="T3:T4"/>
    <mergeCell ref="U3:U4"/>
    <mergeCell ref="V3:V4"/>
    <mergeCell ref="AD6:AD10"/>
    <mergeCell ref="AE6:AE10"/>
    <mergeCell ref="R6:R10"/>
    <mergeCell ref="U6:U10"/>
    <mergeCell ref="V6:V10"/>
    <mergeCell ref="W6:W10"/>
    <mergeCell ref="Q3:Q4"/>
    <mergeCell ref="A3:A4"/>
    <mergeCell ref="B3:B4"/>
    <mergeCell ref="C3:C4"/>
    <mergeCell ref="D3:D4"/>
    <mergeCell ref="E3:E4"/>
    <mergeCell ref="G3:I3"/>
    <mergeCell ref="J3:J4"/>
    <mergeCell ref="K3:K4"/>
    <mergeCell ref="L3:L4"/>
    <mergeCell ref="M3:M4"/>
    <mergeCell ref="N3:N4"/>
    <mergeCell ref="O3:O4"/>
    <mergeCell ref="P3:P4"/>
    <mergeCell ref="AE3:AE4"/>
    <mergeCell ref="AF3:AF4"/>
    <mergeCell ref="AG3:AG4"/>
    <mergeCell ref="A6:A10"/>
    <mergeCell ref="B6:B10"/>
    <mergeCell ref="C6:C10"/>
    <mergeCell ref="L6:L10"/>
    <mergeCell ref="M6:M10"/>
    <mergeCell ref="P6:P10"/>
    <mergeCell ref="Q6:Q10"/>
    <mergeCell ref="W3:W4"/>
    <mergeCell ref="X3:X4"/>
    <mergeCell ref="Z3:Z4"/>
    <mergeCell ref="AA3:AA4"/>
    <mergeCell ref="AB3:AB4"/>
    <mergeCell ref="AC3:AC4"/>
    <mergeCell ref="Y6:Y10"/>
    <mergeCell ref="Z6:Z10"/>
    <mergeCell ref="AA6:AA10"/>
    <mergeCell ref="AB6:AB10"/>
    <mergeCell ref="AC6:AC10"/>
    <mergeCell ref="M12:M13"/>
    <mergeCell ref="P12:P13"/>
    <mergeCell ref="Q12:Q13"/>
    <mergeCell ref="R12:R13"/>
    <mergeCell ref="X6:X10"/>
    <mergeCell ref="A12:A13"/>
    <mergeCell ref="B12:B13"/>
    <mergeCell ref="C12:C13"/>
    <mergeCell ref="D12:D13"/>
    <mergeCell ref="L12:L13"/>
    <mergeCell ref="AG12:AG13"/>
    <mergeCell ref="F16:I16"/>
    <mergeCell ref="AI3:AM3"/>
    <mergeCell ref="AA12:AA13"/>
    <mergeCell ref="AB12:AB13"/>
    <mergeCell ref="AC12:AC13"/>
    <mergeCell ref="AD12:AD13"/>
    <mergeCell ref="AE12:AE13"/>
    <mergeCell ref="AF12:AF13"/>
    <mergeCell ref="U12:U13"/>
    <mergeCell ref="V12:V13"/>
    <mergeCell ref="W12:W13"/>
    <mergeCell ref="X12:X13"/>
    <mergeCell ref="Y12:Y13"/>
    <mergeCell ref="Z12:Z13"/>
    <mergeCell ref="AF6:AF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E314B-6A9D-46F6-95F5-7855ECFA1557}">
  <sheetPr>
    <tabColor theme="8" tint="0.79998168889431442"/>
  </sheetPr>
  <dimension ref="A1:T60"/>
  <sheetViews>
    <sheetView workbookViewId="0">
      <selection activeCell="P13" sqref="P13"/>
    </sheetView>
  </sheetViews>
  <sheetFormatPr baseColWidth="10" defaultColWidth="9.1640625" defaultRowHeight="15" x14ac:dyDescent="0.2"/>
  <cols>
    <col min="1" max="1" width="8.33203125" style="2" customWidth="1"/>
    <col min="2" max="2" width="41" style="2" customWidth="1"/>
    <col min="3" max="3" width="11" style="22" customWidth="1"/>
    <col min="4" max="4" width="9.6640625" style="22" customWidth="1"/>
    <col min="5" max="5" width="10.5" style="22" customWidth="1"/>
    <col min="6" max="6" width="11" style="22" customWidth="1"/>
    <col min="7" max="7" width="16" style="22" bestFit="1" customWidth="1"/>
    <col min="8" max="8" width="13.6640625" style="97" customWidth="1"/>
    <col min="9" max="9" width="10" style="22" customWidth="1"/>
    <col min="10" max="10" width="14.33203125" style="22" customWidth="1"/>
    <col min="11" max="11" width="10.6640625" style="22" customWidth="1"/>
    <col min="12" max="12" width="10.33203125" style="2" customWidth="1"/>
    <col min="13" max="14" width="10.5" style="2" customWidth="1"/>
    <col min="15" max="15" width="16.33203125" style="2" bestFit="1" customWidth="1"/>
    <col min="16" max="16" width="11.5" style="2" customWidth="1"/>
    <col min="17" max="17" width="10.1640625" style="2" customWidth="1"/>
    <col min="18" max="18" width="16.33203125" style="2" bestFit="1" customWidth="1"/>
    <col min="19" max="19" width="11" style="2" customWidth="1"/>
    <col min="20" max="20" width="15.1640625" style="2" bestFit="1" customWidth="1"/>
    <col min="21" max="32" width="9.1640625" style="2"/>
    <col min="33" max="33" width="9.6640625" style="2" bestFit="1" customWidth="1"/>
    <col min="34" max="34" width="10.5" style="2" customWidth="1"/>
    <col min="35" max="35" width="9.6640625" style="2" customWidth="1"/>
    <col min="36" max="36" width="12" style="2" customWidth="1"/>
    <col min="37" max="37" width="9.1640625" style="2"/>
    <col min="38" max="38" width="9.6640625" style="2" bestFit="1" customWidth="1"/>
    <col min="39" max="16384" width="9.1640625" style="2"/>
  </cols>
  <sheetData>
    <row r="1" spans="1:20" ht="17" x14ac:dyDescent="0.2">
      <c r="A1" s="300"/>
      <c r="B1" s="300"/>
      <c r="C1" s="300"/>
      <c r="D1" s="300"/>
      <c r="E1" s="300"/>
      <c r="F1" s="300"/>
      <c r="G1" s="7"/>
      <c r="H1" s="99"/>
      <c r="I1" s="7"/>
      <c r="J1" s="7"/>
      <c r="K1" s="7"/>
      <c r="L1" s="16"/>
    </row>
    <row r="2" spans="1:20" ht="17" x14ac:dyDescent="0.2">
      <c r="A2" s="17"/>
      <c r="B2" s="17"/>
      <c r="C2" s="8"/>
      <c r="D2" s="8"/>
      <c r="E2" s="7"/>
      <c r="F2" s="7"/>
      <c r="G2" s="7"/>
      <c r="H2" s="99"/>
      <c r="I2" s="7"/>
      <c r="J2" s="7"/>
      <c r="K2" s="7"/>
      <c r="L2" s="16"/>
    </row>
    <row r="3" spans="1:20" x14ac:dyDescent="0.2">
      <c r="A3" s="16"/>
      <c r="B3" s="16"/>
      <c r="C3" s="7"/>
      <c r="D3" s="7"/>
      <c r="E3" s="7"/>
      <c r="F3" s="7"/>
      <c r="G3" s="7"/>
      <c r="H3" s="99"/>
      <c r="I3" s="7"/>
      <c r="J3" s="7"/>
      <c r="K3" s="7"/>
      <c r="L3" s="16"/>
    </row>
    <row r="4" spans="1:20" s="18" customFormat="1" ht="20" x14ac:dyDescent="0.2">
      <c r="A4" s="9" t="s">
        <v>0</v>
      </c>
      <c r="B4" s="9"/>
      <c r="C4" s="9"/>
      <c r="D4" s="9"/>
      <c r="E4" s="9"/>
      <c r="F4" s="9"/>
      <c r="G4" s="23"/>
      <c r="H4" s="100"/>
      <c r="I4" s="23" t="s">
        <v>20</v>
      </c>
      <c r="J4" s="23"/>
      <c r="K4" s="23"/>
      <c r="L4" s="9"/>
      <c r="M4" s="18" t="s">
        <v>231</v>
      </c>
      <c r="N4" s="18">
        <v>26300</v>
      </c>
    </row>
    <row r="5" spans="1:20" s="18" customFormat="1" ht="20" x14ac:dyDescent="0.2">
      <c r="A5" s="301" t="s">
        <v>227</v>
      </c>
      <c r="B5" s="301"/>
      <c r="C5" s="301"/>
      <c r="D5" s="301"/>
      <c r="E5" s="301"/>
      <c r="F5" s="301"/>
      <c r="G5" s="7" t="s">
        <v>226</v>
      </c>
      <c r="H5" s="100"/>
      <c r="I5" s="23"/>
      <c r="J5" s="23"/>
      <c r="K5" s="23"/>
      <c r="L5" s="19"/>
    </row>
    <row r="6" spans="1:20" ht="15" customHeight="1" x14ac:dyDescent="0.2">
      <c r="A6" s="23"/>
      <c r="B6" s="23"/>
      <c r="C6" s="23"/>
      <c r="D6" s="7"/>
      <c r="E6" s="7" t="s">
        <v>1</v>
      </c>
      <c r="F6" s="23"/>
      <c r="G6" s="7"/>
      <c r="H6" s="101" t="s">
        <v>224</v>
      </c>
      <c r="I6" s="92"/>
      <c r="J6" s="92"/>
      <c r="K6" s="92"/>
      <c r="L6" s="92"/>
      <c r="N6" s="2" t="s">
        <v>230</v>
      </c>
    </row>
    <row r="7" spans="1:20" ht="32" customHeight="1" x14ac:dyDescent="0.2">
      <c r="A7" s="302" t="s">
        <v>50</v>
      </c>
      <c r="B7" s="311" t="s">
        <v>2</v>
      </c>
      <c r="C7" s="312"/>
      <c r="D7" s="313"/>
      <c r="E7" s="305" t="s">
        <v>3</v>
      </c>
      <c r="F7" s="305" t="s">
        <v>46</v>
      </c>
      <c r="G7" s="308" t="s">
        <v>4</v>
      </c>
      <c r="H7" s="287" t="s">
        <v>222</v>
      </c>
      <c r="I7" s="297" t="s">
        <v>219</v>
      </c>
      <c r="J7" s="287" t="s">
        <v>223</v>
      </c>
      <c r="K7" s="287" t="s">
        <v>220</v>
      </c>
      <c r="L7" s="297" t="s">
        <v>221</v>
      </c>
      <c r="M7" s="287" t="s">
        <v>225</v>
      </c>
      <c r="N7" s="290" t="s">
        <v>229</v>
      </c>
      <c r="O7" s="291"/>
      <c r="P7" s="287" t="s">
        <v>232</v>
      </c>
      <c r="Q7" s="290" t="s">
        <v>233</v>
      </c>
      <c r="R7" s="291"/>
      <c r="S7" s="292" t="s">
        <v>238</v>
      </c>
      <c r="T7" s="296"/>
    </row>
    <row r="8" spans="1:20" x14ac:dyDescent="0.2">
      <c r="A8" s="303"/>
      <c r="B8" s="314" t="s">
        <v>48</v>
      </c>
      <c r="C8" s="315"/>
      <c r="D8" s="316"/>
      <c r="E8" s="306"/>
      <c r="F8" s="306"/>
      <c r="G8" s="309"/>
      <c r="H8" s="288"/>
      <c r="I8" s="298"/>
      <c r="J8" s="288"/>
      <c r="K8" s="288"/>
      <c r="L8" s="298"/>
      <c r="M8" s="288"/>
      <c r="N8" s="292"/>
      <c r="O8" s="293"/>
      <c r="P8" s="288"/>
      <c r="Q8" s="292"/>
      <c r="R8" s="293"/>
      <c r="S8" s="292"/>
      <c r="T8" s="296"/>
    </row>
    <row r="9" spans="1:20" ht="23.25" customHeight="1" x14ac:dyDescent="0.2">
      <c r="A9" s="304"/>
      <c r="B9" s="28" t="s">
        <v>56</v>
      </c>
      <c r="C9" s="28" t="s">
        <v>58</v>
      </c>
      <c r="D9" s="28" t="s">
        <v>57</v>
      </c>
      <c r="E9" s="307"/>
      <c r="F9" s="307"/>
      <c r="G9" s="310"/>
      <c r="H9" s="289"/>
      <c r="I9" s="299"/>
      <c r="J9" s="289"/>
      <c r="K9" s="289"/>
      <c r="L9" s="299"/>
      <c r="M9" s="289"/>
      <c r="N9" s="294"/>
      <c r="O9" s="295"/>
      <c r="P9" s="289"/>
      <c r="Q9" s="294"/>
      <c r="R9" s="295"/>
      <c r="S9" s="292"/>
      <c r="T9" s="296"/>
    </row>
    <row r="10" spans="1:20" ht="24.75" customHeight="1" x14ac:dyDescent="0.2">
      <c r="A10" s="29" t="s">
        <v>63</v>
      </c>
      <c r="B10" s="31">
        <v>22427</v>
      </c>
      <c r="C10" s="31">
        <v>2311</v>
      </c>
      <c r="D10" s="31">
        <v>0</v>
      </c>
      <c r="E10" s="24">
        <f>SUM(B10:D10)</f>
        <v>24738</v>
      </c>
      <c r="F10" s="25" t="s">
        <v>64</v>
      </c>
      <c r="G10" s="98"/>
      <c r="H10" s="93"/>
      <c r="I10" s="94"/>
      <c r="J10" s="93"/>
      <c r="K10" s="93"/>
      <c r="L10" s="94"/>
      <c r="M10" s="93"/>
      <c r="N10" s="93">
        <v>-700</v>
      </c>
      <c r="O10" s="318" t="s">
        <v>237</v>
      </c>
      <c r="P10" s="93"/>
      <c r="Q10" s="93" t="s">
        <v>236</v>
      </c>
      <c r="R10" s="93" t="s">
        <v>237</v>
      </c>
      <c r="S10" s="93" t="s">
        <v>236</v>
      </c>
      <c r="T10" s="93" t="s">
        <v>237</v>
      </c>
    </row>
    <row r="11" spans="1:20" x14ac:dyDescent="0.2">
      <c r="A11" s="27" t="s">
        <v>5</v>
      </c>
      <c r="B11" s="21">
        <f>SUM(B10)</f>
        <v>22427</v>
      </c>
      <c r="C11" s="21">
        <f>SUM(C10)</f>
        <v>2311</v>
      </c>
      <c r="D11" s="21">
        <f>SUM(D10)</f>
        <v>0</v>
      </c>
      <c r="E11" s="21">
        <f>SUM(E10)</f>
        <v>24738</v>
      </c>
      <c r="F11" s="26"/>
      <c r="G11" s="26"/>
      <c r="H11" s="95">
        <f>C60</f>
        <v>11697.100000000002</v>
      </c>
      <c r="I11" s="96">
        <f>E11/H11</f>
        <v>2.1148831761718712</v>
      </c>
      <c r="J11" s="95">
        <f>D30+D34+D42+D48+D53+D56</f>
        <v>10267.100000000002</v>
      </c>
      <c r="K11" s="95">
        <f>SUM(D57:D59)</f>
        <v>1430</v>
      </c>
      <c r="L11" s="96">
        <f>E11/J11</f>
        <v>2.4094437572440119</v>
      </c>
      <c r="M11" s="95">
        <f>'Theo dõi hàng nhập hằng ngày'!O5</f>
        <v>56700</v>
      </c>
      <c r="N11" s="95">
        <f>M11+N10</f>
        <v>56000</v>
      </c>
      <c r="O11" s="95">
        <f>N11*N4</f>
        <v>1472800000</v>
      </c>
      <c r="P11" s="95">
        <f>N11*N4/J11</f>
        <v>143448.49081045279</v>
      </c>
      <c r="Q11" s="95">
        <f>SUM(I16:I59)</f>
        <v>43829.06</v>
      </c>
      <c r="R11" s="95">
        <f>Q11*N4</f>
        <v>1152704278</v>
      </c>
      <c r="S11" s="95">
        <f>Q11-N11</f>
        <v>-12170.940000000002</v>
      </c>
      <c r="T11" s="95">
        <f>R11-O11</f>
        <v>-320095722</v>
      </c>
    </row>
    <row r="12" spans="1:20" x14ac:dyDescent="0.2">
      <c r="A12" s="33"/>
      <c r="B12" s="33"/>
      <c r="C12" s="33"/>
      <c r="D12" s="33"/>
      <c r="E12" s="33"/>
      <c r="F12" s="33"/>
      <c r="G12" s="33"/>
      <c r="H12" s="102"/>
      <c r="I12" s="33"/>
      <c r="J12" s="7" t="s">
        <v>20</v>
      </c>
      <c r="K12" s="7"/>
      <c r="L12" s="7"/>
      <c r="M12" s="7"/>
      <c r="N12" s="7"/>
      <c r="O12" s="7"/>
      <c r="P12" s="7"/>
    </row>
    <row r="14" spans="1:20" ht="18" x14ac:dyDescent="0.2">
      <c r="A14" s="317" t="s">
        <v>38</v>
      </c>
      <c r="B14" s="317"/>
      <c r="C14" s="317"/>
      <c r="D14" s="317"/>
      <c r="E14" s="317"/>
      <c r="F14" s="11"/>
      <c r="I14" s="2"/>
      <c r="K14" s="2"/>
    </row>
    <row r="15" spans="1:20" ht="39" x14ac:dyDescent="0.2">
      <c r="A15" s="222" t="s">
        <v>11</v>
      </c>
      <c r="B15" s="223"/>
      <c r="C15" s="4" t="s">
        <v>5</v>
      </c>
      <c r="D15" s="12" t="s">
        <v>12</v>
      </c>
      <c r="E15" s="13" t="s">
        <v>13</v>
      </c>
      <c r="G15" s="3"/>
      <c r="H15" s="103" t="s">
        <v>235</v>
      </c>
      <c r="I15" s="104" t="s">
        <v>234</v>
      </c>
      <c r="J15" s="2"/>
      <c r="K15" s="2"/>
    </row>
    <row r="16" spans="1:20" x14ac:dyDescent="0.2">
      <c r="A16" s="221" t="s">
        <v>6</v>
      </c>
      <c r="B16" s="32" t="s">
        <v>33</v>
      </c>
      <c r="C16" s="30">
        <v>6.1</v>
      </c>
      <c r="D16" s="6">
        <f t="shared" ref="D16:D29" si="0">SUM(C16)</f>
        <v>6.1</v>
      </c>
      <c r="E16" s="1">
        <f>D16/11697.1</f>
        <v>5.2149678125347303E-4</v>
      </c>
      <c r="G16" s="3"/>
      <c r="H16" s="103">
        <v>10</v>
      </c>
      <c r="I16" s="104">
        <f>H16*D16</f>
        <v>61</v>
      </c>
      <c r="J16" s="2"/>
      <c r="K16" s="2"/>
    </row>
    <row r="17" spans="1:11" x14ac:dyDescent="0.2">
      <c r="A17" s="221"/>
      <c r="B17" s="5" t="s">
        <v>34</v>
      </c>
      <c r="C17" s="30">
        <v>0</v>
      </c>
      <c r="D17" s="6">
        <f t="shared" si="0"/>
        <v>0</v>
      </c>
      <c r="E17" s="1">
        <f>D17/11697.1</f>
        <v>0</v>
      </c>
      <c r="G17" s="3"/>
      <c r="H17" s="103">
        <v>10</v>
      </c>
      <c r="I17" s="104">
        <f t="shared" ref="I17:I59" si="1">H17*D17</f>
        <v>0</v>
      </c>
      <c r="J17" s="2"/>
      <c r="K17" s="2"/>
    </row>
    <row r="18" spans="1:11" x14ac:dyDescent="0.2">
      <c r="A18" s="221"/>
      <c r="B18" s="5" t="s">
        <v>35</v>
      </c>
      <c r="C18" s="30">
        <v>0</v>
      </c>
      <c r="D18" s="6">
        <f t="shared" si="0"/>
        <v>0</v>
      </c>
      <c r="E18" s="1">
        <f t="shared" ref="E18:E59" si="2">D18/11697.1</f>
        <v>0</v>
      </c>
      <c r="G18" s="3"/>
      <c r="H18" s="103">
        <v>9</v>
      </c>
      <c r="I18" s="104">
        <f t="shared" si="1"/>
        <v>0</v>
      </c>
      <c r="J18" s="2"/>
      <c r="K18" s="2"/>
    </row>
    <row r="19" spans="1:11" x14ac:dyDescent="0.2">
      <c r="A19" s="221"/>
      <c r="B19" s="5" t="s">
        <v>7</v>
      </c>
      <c r="C19" s="30">
        <v>11.3</v>
      </c>
      <c r="D19" s="6">
        <f t="shared" si="0"/>
        <v>11.3</v>
      </c>
      <c r="E19" s="1">
        <f t="shared" si="2"/>
        <v>9.6605141445315506E-4</v>
      </c>
      <c r="G19" s="3"/>
      <c r="H19" s="103">
        <v>7</v>
      </c>
      <c r="I19" s="104">
        <f t="shared" si="1"/>
        <v>79.100000000000009</v>
      </c>
      <c r="J19" s="2"/>
      <c r="K19" s="2"/>
    </row>
    <row r="20" spans="1:11" x14ac:dyDescent="0.2">
      <c r="A20" s="221"/>
      <c r="B20" s="5" t="s">
        <v>60</v>
      </c>
      <c r="C20" s="30">
        <v>0</v>
      </c>
      <c r="D20" s="6">
        <f t="shared" si="0"/>
        <v>0</v>
      </c>
      <c r="E20" s="1">
        <f t="shared" si="2"/>
        <v>0</v>
      </c>
      <c r="G20" s="3"/>
      <c r="H20" s="103">
        <v>7</v>
      </c>
      <c r="I20" s="104">
        <f t="shared" si="1"/>
        <v>0</v>
      </c>
      <c r="J20" s="2"/>
      <c r="K20" s="2"/>
    </row>
    <row r="21" spans="1:11" x14ac:dyDescent="0.2">
      <c r="A21" s="221"/>
      <c r="B21" s="5" t="s">
        <v>21</v>
      </c>
      <c r="C21" s="30">
        <v>73.900000000000006</v>
      </c>
      <c r="D21" s="6">
        <f t="shared" si="0"/>
        <v>73.900000000000006</v>
      </c>
      <c r="E21" s="1">
        <f t="shared" si="2"/>
        <v>6.3178052679724039E-3</v>
      </c>
      <c r="G21" s="3"/>
      <c r="H21" s="103">
        <v>8</v>
      </c>
      <c r="I21" s="104">
        <f t="shared" si="1"/>
        <v>591.20000000000005</v>
      </c>
      <c r="J21" s="2"/>
      <c r="K21" s="2"/>
    </row>
    <row r="22" spans="1:11" x14ac:dyDescent="0.2">
      <c r="A22" s="221"/>
      <c r="B22" s="5" t="s">
        <v>61</v>
      </c>
      <c r="C22" s="30">
        <v>149.70000000000002</v>
      </c>
      <c r="D22" s="6">
        <f t="shared" si="0"/>
        <v>149.70000000000002</v>
      </c>
      <c r="E22" s="1">
        <f t="shared" si="2"/>
        <v>1.2798043959613923E-2</v>
      </c>
      <c r="G22" s="3"/>
      <c r="H22" s="103">
        <v>8</v>
      </c>
      <c r="I22" s="104">
        <f t="shared" si="1"/>
        <v>1197.6000000000001</v>
      </c>
      <c r="J22" s="2"/>
      <c r="K22" s="2"/>
    </row>
    <row r="23" spans="1:11" x14ac:dyDescent="0.2">
      <c r="A23" s="221"/>
      <c r="B23" s="5" t="s">
        <v>22</v>
      </c>
      <c r="C23" s="30">
        <v>197.79999999999998</v>
      </c>
      <c r="D23" s="6">
        <f t="shared" si="0"/>
        <v>197.79999999999998</v>
      </c>
      <c r="E23" s="1">
        <f t="shared" si="2"/>
        <v>1.6910174316710977E-2</v>
      </c>
      <c r="G23" s="3"/>
      <c r="H23" s="103">
        <v>6</v>
      </c>
      <c r="I23" s="104">
        <f t="shared" si="1"/>
        <v>1186.8</v>
      </c>
      <c r="J23" s="2"/>
      <c r="K23" s="2"/>
    </row>
    <row r="24" spans="1:11" x14ac:dyDescent="0.2">
      <c r="A24" s="221"/>
      <c r="B24" s="5" t="s">
        <v>17</v>
      </c>
      <c r="C24" s="30">
        <v>95.399999999999991</v>
      </c>
      <c r="D24" s="6">
        <f t="shared" si="0"/>
        <v>95.399999999999991</v>
      </c>
      <c r="E24" s="1">
        <f t="shared" si="2"/>
        <v>8.155867693701857E-3</v>
      </c>
      <c r="G24" s="3"/>
      <c r="H24" s="103">
        <v>6</v>
      </c>
      <c r="I24" s="104">
        <f t="shared" si="1"/>
        <v>572.4</v>
      </c>
      <c r="J24" s="2"/>
      <c r="K24" s="2"/>
    </row>
    <row r="25" spans="1:11" x14ac:dyDescent="0.2">
      <c r="A25" s="221"/>
      <c r="B25" s="5" t="s">
        <v>62</v>
      </c>
      <c r="C25" s="30">
        <v>0</v>
      </c>
      <c r="D25" s="6">
        <f t="shared" si="0"/>
        <v>0</v>
      </c>
      <c r="E25" s="1">
        <f t="shared" si="2"/>
        <v>0</v>
      </c>
      <c r="G25" s="3"/>
      <c r="H25" s="103">
        <v>10</v>
      </c>
      <c r="I25" s="104">
        <f t="shared" si="1"/>
        <v>0</v>
      </c>
      <c r="J25" s="2"/>
      <c r="K25" s="2"/>
    </row>
    <row r="26" spans="1:11" x14ac:dyDescent="0.2">
      <c r="A26" s="224"/>
      <c r="B26" s="5" t="s">
        <v>18</v>
      </c>
      <c r="C26" s="30">
        <v>1007.2</v>
      </c>
      <c r="D26" s="6">
        <f t="shared" si="0"/>
        <v>1007.2</v>
      </c>
      <c r="E26" s="1">
        <f t="shared" si="2"/>
        <v>8.6106812799753782E-2</v>
      </c>
      <c r="G26" s="3"/>
      <c r="H26" s="103">
        <v>5</v>
      </c>
      <c r="I26" s="104">
        <f t="shared" si="1"/>
        <v>5036</v>
      </c>
      <c r="J26" s="2"/>
      <c r="K26" s="2"/>
    </row>
    <row r="27" spans="1:11" x14ac:dyDescent="0.2">
      <c r="A27" s="225" t="s">
        <v>8</v>
      </c>
      <c r="B27" s="5" t="s">
        <v>9</v>
      </c>
      <c r="C27" s="30">
        <f>221.9+524</f>
        <v>745.9</v>
      </c>
      <c r="D27" s="6">
        <f t="shared" si="0"/>
        <v>745.9</v>
      </c>
      <c r="E27" s="1">
        <f t="shared" si="2"/>
        <v>6.3767942481469761E-2</v>
      </c>
      <c r="G27" s="3"/>
      <c r="H27" s="103">
        <v>5</v>
      </c>
      <c r="I27" s="104">
        <f t="shared" si="1"/>
        <v>3729.5</v>
      </c>
      <c r="J27" s="2"/>
      <c r="K27" s="2"/>
    </row>
    <row r="28" spans="1:11" x14ac:dyDescent="0.2">
      <c r="A28" s="225"/>
      <c r="B28" s="20" t="s">
        <v>19</v>
      </c>
      <c r="C28" s="30">
        <f>1.7+105</f>
        <v>106.7</v>
      </c>
      <c r="D28" s="6">
        <f t="shared" si="0"/>
        <v>106.7</v>
      </c>
      <c r="E28" s="1">
        <f t="shared" si="2"/>
        <v>9.1219191081550119E-3</v>
      </c>
      <c r="G28" s="3"/>
      <c r="H28" s="103">
        <v>6</v>
      </c>
      <c r="I28" s="104">
        <f t="shared" si="1"/>
        <v>640.20000000000005</v>
      </c>
      <c r="J28" s="2"/>
      <c r="K28" s="2"/>
    </row>
    <row r="29" spans="1:11" x14ac:dyDescent="0.2">
      <c r="A29" s="225"/>
      <c r="B29" s="20" t="s">
        <v>29</v>
      </c>
      <c r="C29" s="30">
        <f>458.8+266-300</f>
        <v>424.79999999999995</v>
      </c>
      <c r="D29" s="6">
        <f t="shared" si="0"/>
        <v>424.79999999999995</v>
      </c>
      <c r="E29" s="1">
        <f t="shared" si="2"/>
        <v>3.6316693881389396E-2</v>
      </c>
      <c r="G29" s="3"/>
      <c r="H29" s="103">
        <v>2</v>
      </c>
      <c r="I29" s="104">
        <f t="shared" si="1"/>
        <v>849.59999999999991</v>
      </c>
      <c r="J29" s="2"/>
      <c r="K29" s="2"/>
    </row>
    <row r="30" spans="1:11" x14ac:dyDescent="0.2">
      <c r="A30" s="218" t="s">
        <v>14</v>
      </c>
      <c r="B30" s="219"/>
      <c r="C30" s="6">
        <f>SUM(C16:C29)</f>
        <v>2818.8</v>
      </c>
      <c r="D30" s="6">
        <f>SUM(D16:D29)</f>
        <v>2818.8</v>
      </c>
      <c r="E30" s="14">
        <f>SUM(E16:E29)</f>
        <v>0.24098280770447375</v>
      </c>
      <c r="G30" s="3"/>
      <c r="H30" s="103"/>
      <c r="I30" s="104">
        <f t="shared" si="1"/>
        <v>0</v>
      </c>
      <c r="J30" s="2"/>
      <c r="K30" s="2"/>
    </row>
    <row r="31" spans="1:11" x14ac:dyDescent="0.2">
      <c r="A31" s="220" t="s">
        <v>6</v>
      </c>
      <c r="B31" s="5" t="s">
        <v>23</v>
      </c>
      <c r="C31" s="5">
        <v>88.5</v>
      </c>
      <c r="D31" s="6">
        <f>SUM(C31)</f>
        <v>88.5</v>
      </c>
      <c r="E31" s="1">
        <f t="shared" si="2"/>
        <v>7.5659778919561259E-3</v>
      </c>
      <c r="G31" s="3"/>
      <c r="H31" s="103">
        <v>5</v>
      </c>
      <c r="I31" s="104">
        <f t="shared" si="1"/>
        <v>442.5</v>
      </c>
      <c r="J31" s="2"/>
      <c r="K31" s="2"/>
    </row>
    <row r="32" spans="1:11" x14ac:dyDescent="0.2">
      <c r="A32" s="221"/>
      <c r="B32" s="5" t="s">
        <v>24</v>
      </c>
      <c r="C32" s="5">
        <v>414.90000000000003</v>
      </c>
      <c r="D32" s="6">
        <f t="shared" ref="D32:D33" si="3">SUM(C32)</f>
        <v>414.90000000000003</v>
      </c>
      <c r="E32" s="1">
        <f t="shared" si="2"/>
        <v>3.5470330252797701E-2</v>
      </c>
      <c r="G32" s="3"/>
      <c r="H32" s="103">
        <v>4.5</v>
      </c>
      <c r="I32" s="104">
        <f t="shared" si="1"/>
        <v>1867.0500000000002</v>
      </c>
      <c r="J32" s="2"/>
      <c r="K32" s="2"/>
    </row>
    <row r="33" spans="1:11" x14ac:dyDescent="0.2">
      <c r="A33" s="221"/>
      <c r="B33" s="5" t="s">
        <v>25</v>
      </c>
      <c r="C33" s="5">
        <v>95.899999999999991</v>
      </c>
      <c r="D33" s="6">
        <f t="shared" si="3"/>
        <v>95.899999999999991</v>
      </c>
      <c r="E33" s="1">
        <f t="shared" si="2"/>
        <v>8.1986133315095182E-3</v>
      </c>
      <c r="G33" s="3"/>
      <c r="H33" s="103">
        <v>4</v>
      </c>
      <c r="I33" s="104">
        <f t="shared" si="1"/>
        <v>383.59999999999997</v>
      </c>
      <c r="J33" s="2"/>
      <c r="K33" s="2"/>
    </row>
    <row r="34" spans="1:11" x14ac:dyDescent="0.2">
      <c r="A34" s="218" t="s">
        <v>30</v>
      </c>
      <c r="B34" s="219"/>
      <c r="C34" s="6">
        <f>SUM(C31:C33)</f>
        <v>599.30000000000007</v>
      </c>
      <c r="D34" s="6">
        <f>SUM(D31:D33)</f>
        <v>599.30000000000007</v>
      </c>
      <c r="E34" s="14">
        <f>SUM(E31:E33)</f>
        <v>5.1234921476263351E-2</v>
      </c>
      <c r="G34" s="3"/>
      <c r="H34" s="103"/>
      <c r="I34" s="104">
        <f t="shared" si="1"/>
        <v>0</v>
      </c>
      <c r="J34" s="2"/>
      <c r="K34" s="2"/>
    </row>
    <row r="35" spans="1:11" x14ac:dyDescent="0.2">
      <c r="A35" s="220" t="s">
        <v>39</v>
      </c>
      <c r="B35" s="5" t="s">
        <v>36</v>
      </c>
      <c r="C35" s="4">
        <v>6</v>
      </c>
      <c r="D35" s="6">
        <f>SUM(C35)</f>
        <v>6</v>
      </c>
      <c r="E35" s="1">
        <f t="shared" si="2"/>
        <v>5.1294765369194067E-4</v>
      </c>
      <c r="G35" s="3"/>
      <c r="H35" s="103">
        <v>8</v>
      </c>
      <c r="I35" s="104">
        <f t="shared" si="1"/>
        <v>48</v>
      </c>
      <c r="J35" s="2"/>
      <c r="K35" s="2"/>
    </row>
    <row r="36" spans="1:11" x14ac:dyDescent="0.2">
      <c r="A36" s="221"/>
      <c r="B36" s="5" t="s">
        <v>52</v>
      </c>
      <c r="C36" s="4"/>
      <c r="D36" s="6">
        <f t="shared" ref="D36:D41" si="4">SUM(C36)</f>
        <v>0</v>
      </c>
      <c r="E36" s="1">
        <f t="shared" si="2"/>
        <v>0</v>
      </c>
      <c r="G36" s="3"/>
      <c r="H36" s="103">
        <v>8</v>
      </c>
      <c r="I36" s="104">
        <f t="shared" si="1"/>
        <v>0</v>
      </c>
      <c r="J36" s="2"/>
      <c r="K36" s="2"/>
    </row>
    <row r="37" spans="1:11" x14ac:dyDescent="0.2">
      <c r="A37" s="221"/>
      <c r="B37" s="5" t="s">
        <v>37</v>
      </c>
      <c r="C37" s="4">
        <v>192.6</v>
      </c>
      <c r="D37" s="6">
        <f t="shared" si="4"/>
        <v>192.6</v>
      </c>
      <c r="E37" s="1">
        <f t="shared" si="2"/>
        <v>1.6465619683511297E-2</v>
      </c>
      <c r="G37" s="3"/>
      <c r="H37" s="103">
        <v>7.5</v>
      </c>
      <c r="I37" s="104">
        <f t="shared" si="1"/>
        <v>1444.5</v>
      </c>
      <c r="J37" s="2"/>
      <c r="K37" s="2"/>
    </row>
    <row r="38" spans="1:11" x14ac:dyDescent="0.2">
      <c r="A38" s="221"/>
      <c r="B38" s="5" t="s">
        <v>40</v>
      </c>
      <c r="C38" s="4">
        <v>0</v>
      </c>
      <c r="D38" s="6">
        <f t="shared" si="4"/>
        <v>0</v>
      </c>
      <c r="E38" s="1">
        <f t="shared" si="2"/>
        <v>0</v>
      </c>
      <c r="G38" s="3"/>
      <c r="H38" s="103">
        <v>5</v>
      </c>
      <c r="I38" s="104">
        <f t="shared" si="1"/>
        <v>0</v>
      </c>
      <c r="J38" s="2"/>
      <c r="K38" s="2"/>
    </row>
    <row r="39" spans="1:11" x14ac:dyDescent="0.2">
      <c r="A39" s="221"/>
      <c r="B39" s="5" t="s">
        <v>45</v>
      </c>
      <c r="C39" s="4">
        <v>6</v>
      </c>
      <c r="D39" s="6">
        <f t="shared" si="4"/>
        <v>6</v>
      </c>
      <c r="E39" s="1">
        <f t="shared" si="2"/>
        <v>5.1294765369194067E-4</v>
      </c>
      <c r="G39" s="3"/>
      <c r="H39" s="103">
        <v>8</v>
      </c>
      <c r="I39" s="104">
        <f t="shared" si="1"/>
        <v>48</v>
      </c>
      <c r="J39" s="2"/>
      <c r="K39" s="2"/>
    </row>
    <row r="40" spans="1:11" x14ac:dyDescent="0.2">
      <c r="A40" s="221"/>
      <c r="B40" s="5" t="s">
        <v>41</v>
      </c>
      <c r="C40" s="4">
        <v>175.6</v>
      </c>
      <c r="D40" s="6">
        <f t="shared" si="4"/>
        <v>175.6</v>
      </c>
      <c r="E40" s="1">
        <f t="shared" si="2"/>
        <v>1.5012267998050798E-2</v>
      </c>
      <c r="G40" s="3"/>
      <c r="H40" s="103">
        <v>6</v>
      </c>
      <c r="I40" s="104">
        <f t="shared" si="1"/>
        <v>1053.5999999999999</v>
      </c>
      <c r="J40" s="2"/>
      <c r="K40" s="2"/>
    </row>
    <row r="41" spans="1:11" x14ac:dyDescent="0.2">
      <c r="A41" s="221"/>
      <c r="B41" s="5" t="s">
        <v>42</v>
      </c>
      <c r="C41" s="4">
        <v>6</v>
      </c>
      <c r="D41" s="6">
        <f t="shared" si="4"/>
        <v>6</v>
      </c>
      <c r="E41" s="1">
        <f t="shared" si="2"/>
        <v>5.1294765369194067E-4</v>
      </c>
      <c r="G41" s="3"/>
      <c r="H41" s="103">
        <v>6</v>
      </c>
      <c r="I41" s="104">
        <f t="shared" si="1"/>
        <v>36</v>
      </c>
      <c r="J41" s="2"/>
      <c r="K41" s="2"/>
    </row>
    <row r="42" spans="1:11" x14ac:dyDescent="0.2">
      <c r="A42" s="218" t="s">
        <v>43</v>
      </c>
      <c r="B42" s="219"/>
      <c r="C42" s="6">
        <f>SUM(C35:C41)</f>
        <v>386.2</v>
      </c>
      <c r="D42" s="6">
        <f>SUM(D35:D41)</f>
        <v>386.2</v>
      </c>
      <c r="E42" s="14">
        <f>SUM(E35:E41)</f>
        <v>3.3016730642637916E-2</v>
      </c>
      <c r="G42" s="3"/>
      <c r="H42" s="103"/>
      <c r="I42" s="104">
        <f t="shared" si="1"/>
        <v>0</v>
      </c>
      <c r="J42" s="2"/>
      <c r="K42" s="2"/>
    </row>
    <row r="43" spans="1:11" x14ac:dyDescent="0.2">
      <c r="A43" s="220" t="s">
        <v>6</v>
      </c>
      <c r="B43" s="5" t="s">
        <v>26</v>
      </c>
      <c r="C43" s="30">
        <v>357.1</v>
      </c>
      <c r="D43" s="6">
        <f>SUM(C43)</f>
        <v>357.1</v>
      </c>
      <c r="E43" s="1">
        <f t="shared" si="2"/>
        <v>3.0528934522232008E-2</v>
      </c>
      <c r="G43" s="3"/>
      <c r="H43" s="103">
        <v>5.3</v>
      </c>
      <c r="I43" s="104">
        <f t="shared" si="1"/>
        <v>1892.63</v>
      </c>
      <c r="J43" s="2"/>
      <c r="K43" s="2"/>
    </row>
    <row r="44" spans="1:11" x14ac:dyDescent="0.2">
      <c r="A44" s="221"/>
      <c r="B44" s="5" t="s">
        <v>27</v>
      </c>
      <c r="C44" s="30">
        <v>2015.5</v>
      </c>
      <c r="D44" s="6">
        <f>SUM(C44)</f>
        <v>2015.5</v>
      </c>
      <c r="E44" s="1">
        <f t="shared" si="2"/>
        <v>0.17230766600268443</v>
      </c>
      <c r="G44" s="3"/>
      <c r="H44" s="103">
        <v>5</v>
      </c>
      <c r="I44" s="104">
        <f t="shared" si="1"/>
        <v>10077.5</v>
      </c>
      <c r="J44" s="2"/>
      <c r="K44" s="2"/>
    </row>
    <row r="45" spans="1:11" x14ac:dyDescent="0.2">
      <c r="A45" s="221"/>
      <c r="B45" s="5" t="s">
        <v>31</v>
      </c>
      <c r="C45" s="30">
        <v>587.59999999999991</v>
      </c>
      <c r="D45" s="6">
        <f t="shared" ref="D45:D47" si="5">SUM(C45)</f>
        <v>587.59999999999991</v>
      </c>
      <c r="E45" s="1">
        <f t="shared" si="2"/>
        <v>5.0234673551564052E-2</v>
      </c>
      <c r="G45" s="3"/>
      <c r="H45" s="103">
        <v>4.8</v>
      </c>
      <c r="I45" s="104">
        <f t="shared" si="1"/>
        <v>2820.4799999999996</v>
      </c>
      <c r="J45" s="2"/>
      <c r="K45" s="2"/>
    </row>
    <row r="46" spans="1:11" x14ac:dyDescent="0.2">
      <c r="A46" s="221"/>
      <c r="B46" s="5" t="s">
        <v>51</v>
      </c>
      <c r="C46" s="30">
        <v>111.6</v>
      </c>
      <c r="D46" s="6">
        <f t="shared" si="5"/>
        <v>111.6</v>
      </c>
      <c r="E46" s="1">
        <f t="shared" si="2"/>
        <v>9.5408263586700976E-3</v>
      </c>
      <c r="G46" s="3"/>
      <c r="H46" s="103">
        <v>4.5</v>
      </c>
      <c r="I46" s="104">
        <f t="shared" si="1"/>
        <v>502.2</v>
      </c>
      <c r="J46" s="2"/>
      <c r="K46" s="2"/>
    </row>
    <row r="47" spans="1:11" x14ac:dyDescent="0.2">
      <c r="A47" s="221"/>
      <c r="B47" s="5" t="s">
        <v>28</v>
      </c>
      <c r="C47" s="30">
        <v>1431.1</v>
      </c>
      <c r="D47" s="6">
        <f t="shared" si="5"/>
        <v>1431.1</v>
      </c>
      <c r="E47" s="1">
        <f t="shared" si="2"/>
        <v>0.12234656453308938</v>
      </c>
      <c r="G47" s="3"/>
      <c r="H47" s="103"/>
      <c r="I47" s="104">
        <f t="shared" si="1"/>
        <v>0</v>
      </c>
      <c r="J47" s="2"/>
      <c r="K47" s="2"/>
    </row>
    <row r="48" spans="1:11" x14ac:dyDescent="0.2">
      <c r="A48" s="218" t="s">
        <v>15</v>
      </c>
      <c r="B48" s="219"/>
      <c r="C48" s="6">
        <f>SUM(C43:C47)</f>
        <v>4502.8999999999996</v>
      </c>
      <c r="D48" s="6">
        <f>SUM(D43:D47)</f>
        <v>4502.8999999999996</v>
      </c>
      <c r="E48" s="14">
        <f>SUM(E43:E47)</f>
        <v>0.38495866496823999</v>
      </c>
      <c r="G48" s="3"/>
      <c r="H48" s="103"/>
      <c r="I48" s="104">
        <f t="shared" si="1"/>
        <v>0</v>
      </c>
      <c r="J48" s="2"/>
      <c r="K48" s="2"/>
    </row>
    <row r="49" spans="1:15" ht="15" customHeight="1" x14ac:dyDescent="0.2">
      <c r="A49" s="213" t="s">
        <v>59</v>
      </c>
      <c r="B49" s="214"/>
      <c r="C49" s="5">
        <v>1691.2</v>
      </c>
      <c r="D49" s="6">
        <f>SUM(C49)</f>
        <v>1691.2</v>
      </c>
      <c r="E49" s="1">
        <f t="shared" si="2"/>
        <v>0.14458284532063503</v>
      </c>
      <c r="G49" s="3"/>
      <c r="H49" s="103">
        <v>4</v>
      </c>
      <c r="I49" s="104">
        <f t="shared" si="1"/>
        <v>6764.8</v>
      </c>
      <c r="J49" s="2"/>
      <c r="K49" s="2"/>
    </row>
    <row r="50" spans="1:15" x14ac:dyDescent="0.2">
      <c r="A50" s="213" t="s">
        <v>53</v>
      </c>
      <c r="B50" s="214"/>
      <c r="C50" s="5"/>
      <c r="D50" s="6">
        <f>SUM(C50)</f>
        <v>0</v>
      </c>
      <c r="E50" s="1">
        <f t="shared" si="2"/>
        <v>0</v>
      </c>
      <c r="G50" s="3"/>
      <c r="H50" s="103">
        <v>4</v>
      </c>
      <c r="I50" s="104">
        <f t="shared" si="1"/>
        <v>0</v>
      </c>
      <c r="J50" s="2"/>
      <c r="K50" s="2"/>
    </row>
    <row r="51" spans="1:15" ht="15" customHeight="1" x14ac:dyDescent="0.2">
      <c r="A51" s="213" t="s">
        <v>65</v>
      </c>
      <c r="B51" s="214"/>
      <c r="C51" s="5"/>
      <c r="D51" s="6">
        <f>SUM(C51)</f>
        <v>0</v>
      </c>
      <c r="E51" s="1">
        <f t="shared" si="2"/>
        <v>0</v>
      </c>
      <c r="G51" s="3"/>
      <c r="H51" s="103">
        <v>5</v>
      </c>
      <c r="I51" s="104">
        <f t="shared" si="1"/>
        <v>0</v>
      </c>
      <c r="J51" s="2"/>
      <c r="K51" s="2"/>
    </row>
    <row r="52" spans="1:15" ht="15" customHeight="1" x14ac:dyDescent="0.2">
      <c r="A52" s="213" t="s">
        <v>54</v>
      </c>
      <c r="B52" s="214"/>
      <c r="C52" s="5"/>
      <c r="D52" s="6">
        <f>SUM(C52)</f>
        <v>0</v>
      </c>
      <c r="E52" s="1">
        <f t="shared" si="2"/>
        <v>0</v>
      </c>
      <c r="G52" s="3"/>
      <c r="H52" s="103">
        <v>5</v>
      </c>
      <c r="I52" s="104">
        <f t="shared" si="1"/>
        <v>0</v>
      </c>
      <c r="J52" s="2"/>
      <c r="K52" s="2"/>
    </row>
    <row r="53" spans="1:15" x14ac:dyDescent="0.2">
      <c r="A53" s="218" t="s">
        <v>49</v>
      </c>
      <c r="B53" s="219"/>
      <c r="C53" s="6">
        <f>SUM(C49:C52)</f>
        <v>1691.2</v>
      </c>
      <c r="D53" s="6">
        <f>SUM(D49:D52)</f>
        <v>1691.2</v>
      </c>
      <c r="E53" s="14">
        <f>SUM(E49:E52)</f>
        <v>0.14458284532063503</v>
      </c>
      <c r="G53" s="3"/>
      <c r="H53" s="103"/>
      <c r="I53" s="104">
        <f t="shared" si="1"/>
        <v>0</v>
      </c>
      <c r="J53" s="2"/>
      <c r="K53" s="2"/>
    </row>
    <row r="54" spans="1:15" x14ac:dyDescent="0.2">
      <c r="A54" s="213" t="s">
        <v>47</v>
      </c>
      <c r="B54" s="214"/>
      <c r="C54" s="5">
        <v>81.2</v>
      </c>
      <c r="D54" s="6">
        <f>SUM(C54)</f>
        <v>81.2</v>
      </c>
      <c r="E54" s="1">
        <f t="shared" si="2"/>
        <v>6.9418915799642645E-3</v>
      </c>
      <c r="G54" s="3"/>
      <c r="H54" s="103">
        <v>4</v>
      </c>
      <c r="I54" s="104">
        <f t="shared" si="1"/>
        <v>324.8</v>
      </c>
      <c r="J54" s="2"/>
      <c r="K54" s="2"/>
    </row>
    <row r="55" spans="1:15" x14ac:dyDescent="0.2">
      <c r="A55" s="213" t="s">
        <v>32</v>
      </c>
      <c r="B55" s="214"/>
      <c r="C55" s="5">
        <v>187.5</v>
      </c>
      <c r="D55" s="6">
        <f>SUM(C55)</f>
        <v>187.5</v>
      </c>
      <c r="E55" s="1">
        <f t="shared" si="2"/>
        <v>1.6029614177873148E-2</v>
      </c>
      <c r="G55" s="3"/>
      <c r="H55" s="103">
        <v>4</v>
      </c>
      <c r="I55" s="104">
        <f t="shared" si="1"/>
        <v>750</v>
      </c>
      <c r="J55" s="2"/>
      <c r="K55" s="2"/>
    </row>
    <row r="56" spans="1:15" x14ac:dyDescent="0.2">
      <c r="A56" s="218" t="s">
        <v>55</v>
      </c>
      <c r="B56" s="219"/>
      <c r="C56" s="6">
        <f>SUM(C54:C55)</f>
        <v>268.7</v>
      </c>
      <c r="D56" s="6">
        <f>SUM(D54:D55)</f>
        <v>268.7</v>
      </c>
      <c r="E56" s="14">
        <f>SUM(E54:E55)</f>
        <v>2.2971505757837414E-2</v>
      </c>
      <c r="G56" s="3"/>
      <c r="H56" s="103"/>
      <c r="I56" s="104">
        <f t="shared" si="1"/>
        <v>0</v>
      </c>
      <c r="J56" s="2"/>
      <c r="K56" s="2"/>
    </row>
    <row r="57" spans="1:15" x14ac:dyDescent="0.2">
      <c r="A57" s="213" t="s">
        <v>16</v>
      </c>
      <c r="B57" s="214"/>
      <c r="C57" s="10">
        <f>280+300</f>
        <v>580</v>
      </c>
      <c r="D57" s="6">
        <f>SUM(C57)</f>
        <v>580</v>
      </c>
      <c r="E57" s="1">
        <f t="shared" si="2"/>
        <v>4.9584939856887604E-2</v>
      </c>
      <c r="G57" s="3"/>
      <c r="H57" s="103">
        <v>1</v>
      </c>
      <c r="I57" s="104">
        <f t="shared" si="1"/>
        <v>580</v>
      </c>
      <c r="J57" s="2"/>
      <c r="K57" s="2"/>
    </row>
    <row r="58" spans="1:15" x14ac:dyDescent="0.2">
      <c r="A58" s="213" t="s">
        <v>10</v>
      </c>
      <c r="B58" s="214"/>
      <c r="C58" s="10">
        <v>850</v>
      </c>
      <c r="D58" s="6">
        <f>SUM(C58)</f>
        <v>850</v>
      </c>
      <c r="E58" s="1">
        <f t="shared" si="2"/>
        <v>7.2667584273024929E-2</v>
      </c>
      <c r="G58" s="3"/>
      <c r="H58" s="103">
        <v>1</v>
      </c>
      <c r="I58" s="104">
        <f t="shared" si="1"/>
        <v>850</v>
      </c>
      <c r="J58" s="2"/>
      <c r="K58" s="2"/>
    </row>
    <row r="59" spans="1:15" x14ac:dyDescent="0.2">
      <c r="A59" s="213" t="s">
        <v>44</v>
      </c>
      <c r="B59" s="214"/>
      <c r="C59" s="10">
        <v>0</v>
      </c>
      <c r="D59" s="6">
        <f>SUM(C59)</f>
        <v>0</v>
      </c>
      <c r="E59" s="1">
        <f t="shared" si="2"/>
        <v>0</v>
      </c>
      <c r="G59" s="3"/>
      <c r="H59" s="103">
        <v>1</v>
      </c>
      <c r="I59" s="104">
        <f t="shared" si="1"/>
        <v>0</v>
      </c>
      <c r="J59" s="2"/>
      <c r="K59" s="2"/>
    </row>
    <row r="60" spans="1:15" s="22" customFormat="1" x14ac:dyDescent="0.2">
      <c r="A60" s="2"/>
      <c r="B60" s="2"/>
      <c r="C60" s="22">
        <f>C30+C34+C42+C48+C53+C56+C57+C58+C59</f>
        <v>11697.100000000002</v>
      </c>
      <c r="E60" s="15">
        <f>E56+E48+E42+E34+E30+E53</f>
        <v>0.8777474758700875</v>
      </c>
      <c r="G60" s="3"/>
      <c r="H60" s="97"/>
      <c r="I60" s="2"/>
      <c r="J60" s="2"/>
      <c r="K60" s="2"/>
      <c r="L60" s="2"/>
      <c r="M60" s="2"/>
      <c r="N60" s="2"/>
      <c r="O60" s="2"/>
    </row>
  </sheetData>
  <mergeCells count="40">
    <mergeCell ref="A59:B59"/>
    <mergeCell ref="A48:B48"/>
    <mergeCell ref="A49:B49"/>
    <mergeCell ref="A50:B50"/>
    <mergeCell ref="A51:B51"/>
    <mergeCell ref="A52:B52"/>
    <mergeCell ref="A53:B53"/>
    <mergeCell ref="A54:B54"/>
    <mergeCell ref="A55:B55"/>
    <mergeCell ref="A56:B56"/>
    <mergeCell ref="A57:B57"/>
    <mergeCell ref="A58:B58"/>
    <mergeCell ref="G7:G9"/>
    <mergeCell ref="B7:D7"/>
    <mergeCell ref="B8:D8"/>
    <mergeCell ref="H7:H9"/>
    <mergeCell ref="A43:A47"/>
    <mergeCell ref="A14:E14"/>
    <mergeCell ref="A15:B15"/>
    <mergeCell ref="A16:A26"/>
    <mergeCell ref="A27:A29"/>
    <mergeCell ref="A30:B30"/>
    <mergeCell ref="A31:A33"/>
    <mergeCell ref="A34:B34"/>
    <mergeCell ref="A35:A41"/>
    <mergeCell ref="A42:B42"/>
    <mergeCell ref="A1:F1"/>
    <mergeCell ref="A5:F5"/>
    <mergeCell ref="A7:A9"/>
    <mergeCell ref="E7:E9"/>
    <mergeCell ref="F7:F9"/>
    <mergeCell ref="P7:P9"/>
    <mergeCell ref="Q7:R9"/>
    <mergeCell ref="N7:O9"/>
    <mergeCell ref="S7:T9"/>
    <mergeCell ref="I7:I9"/>
    <mergeCell ref="J7:J9"/>
    <mergeCell ref="K7:K9"/>
    <mergeCell ref="L7:L9"/>
    <mergeCell ref="M7:M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46C5C-0402-AF43-B56A-EDD74AAF9D50}">
  <sheetPr>
    <tabColor theme="9" tint="0.59999389629810485"/>
  </sheetPr>
  <dimension ref="A3:V9"/>
  <sheetViews>
    <sheetView tabSelected="1" workbookViewId="0">
      <selection activeCell="M6" sqref="M6"/>
    </sheetView>
  </sheetViews>
  <sheetFormatPr baseColWidth="10" defaultRowHeight="15" x14ac:dyDescent="0.2"/>
  <sheetData>
    <row r="3" spans="1:22" ht="42" x14ac:dyDescent="0.2">
      <c r="A3" s="114" t="s">
        <v>252</v>
      </c>
      <c r="B3" s="115" t="s">
        <v>253</v>
      </c>
      <c r="C3" s="115" t="s">
        <v>254</v>
      </c>
      <c r="D3" s="115" t="s">
        <v>255</v>
      </c>
      <c r="E3" s="115" t="s">
        <v>256</v>
      </c>
      <c r="F3" s="115" t="s">
        <v>257</v>
      </c>
      <c r="G3" s="114" t="s">
        <v>258</v>
      </c>
      <c r="H3" s="114" t="s">
        <v>259</v>
      </c>
      <c r="I3" s="115" t="s">
        <v>260</v>
      </c>
      <c r="J3" s="115" t="s">
        <v>261</v>
      </c>
      <c r="K3" s="115" t="s">
        <v>262</v>
      </c>
      <c r="L3" s="115" t="s">
        <v>263</v>
      </c>
      <c r="M3" s="115" t="s">
        <v>264</v>
      </c>
      <c r="N3" s="115" t="s">
        <v>265</v>
      </c>
      <c r="O3" s="115" t="s">
        <v>266</v>
      </c>
      <c r="P3" s="115" t="s">
        <v>46</v>
      </c>
      <c r="Q3" s="115" t="s">
        <v>267</v>
      </c>
      <c r="R3" s="115" t="s">
        <v>268</v>
      </c>
      <c r="S3" s="115" t="s">
        <v>269</v>
      </c>
      <c r="T3" s="115" t="s">
        <v>270</v>
      </c>
      <c r="U3" s="115" t="s">
        <v>271</v>
      </c>
      <c r="V3" s="115" t="s">
        <v>272</v>
      </c>
    </row>
    <row r="4" spans="1:22" x14ac:dyDescent="0.2">
      <c r="A4" s="127" t="s">
        <v>290</v>
      </c>
      <c r="B4" s="128"/>
      <c r="C4" s="116"/>
      <c r="D4" s="117"/>
      <c r="E4" s="117"/>
      <c r="F4" s="117"/>
      <c r="G4" s="118"/>
      <c r="H4" s="118"/>
      <c r="I4" s="119"/>
      <c r="J4" s="125"/>
      <c r="K4" s="121"/>
      <c r="L4" s="122"/>
      <c r="M4" s="122"/>
      <c r="N4" s="122"/>
      <c r="O4" s="123"/>
      <c r="P4" s="121"/>
      <c r="Q4" s="116"/>
      <c r="R4" s="116"/>
      <c r="S4" s="116"/>
      <c r="T4" s="121"/>
      <c r="U4" s="116"/>
      <c r="V4" s="116"/>
    </row>
    <row r="5" spans="1:22" x14ac:dyDescent="0.2">
      <c r="A5" s="126">
        <v>46176</v>
      </c>
      <c r="B5" s="124" t="s">
        <v>291</v>
      </c>
      <c r="C5" s="116" t="s">
        <v>280</v>
      </c>
      <c r="D5" s="117" t="s">
        <v>302</v>
      </c>
      <c r="E5" s="117"/>
      <c r="F5" s="117"/>
      <c r="G5" s="118">
        <v>46179</v>
      </c>
      <c r="H5" s="118">
        <v>46230</v>
      </c>
      <c r="I5" s="119">
        <v>260599</v>
      </c>
      <c r="J5" s="120" t="s">
        <v>292</v>
      </c>
      <c r="K5" s="121" t="s">
        <v>281</v>
      </c>
      <c r="L5" s="122">
        <v>1250</v>
      </c>
      <c r="M5" s="122"/>
      <c r="N5" s="122">
        <v>25000</v>
      </c>
      <c r="O5" s="123">
        <v>164500</v>
      </c>
      <c r="P5" s="121" t="s">
        <v>293</v>
      </c>
      <c r="Q5" s="116"/>
      <c r="R5" s="116" t="s">
        <v>143</v>
      </c>
      <c r="S5" s="116" t="s">
        <v>94</v>
      </c>
      <c r="T5" s="121" t="s">
        <v>275</v>
      </c>
      <c r="U5" s="116" t="s">
        <v>289</v>
      </c>
      <c r="V5" s="116" t="s">
        <v>277</v>
      </c>
    </row>
    <row r="6" spans="1:22" x14ac:dyDescent="0.2">
      <c r="A6" s="126">
        <v>46177</v>
      </c>
      <c r="B6" s="124" t="s">
        <v>294</v>
      </c>
      <c r="C6" s="116" t="s">
        <v>284</v>
      </c>
      <c r="D6" s="117" t="s">
        <v>303</v>
      </c>
      <c r="E6" s="117"/>
      <c r="F6" s="117"/>
      <c r="G6" s="118">
        <v>46181</v>
      </c>
      <c r="H6" s="118">
        <v>46209</v>
      </c>
      <c r="I6" s="119" t="s">
        <v>295</v>
      </c>
      <c r="J6" s="120" t="s">
        <v>296</v>
      </c>
      <c r="K6" s="121" t="s">
        <v>285</v>
      </c>
      <c r="L6" s="122">
        <v>1925</v>
      </c>
      <c r="M6" s="122"/>
      <c r="N6" s="122">
        <v>19250</v>
      </c>
      <c r="O6" s="123">
        <v>68625</v>
      </c>
      <c r="P6" s="121" t="s">
        <v>297</v>
      </c>
      <c r="Q6" s="116"/>
      <c r="R6" s="116" t="s">
        <v>143</v>
      </c>
      <c r="S6" s="116" t="s">
        <v>286</v>
      </c>
      <c r="T6" s="121" t="s">
        <v>287</v>
      </c>
      <c r="U6" s="116" t="s">
        <v>288</v>
      </c>
      <c r="V6" s="116" t="s">
        <v>277</v>
      </c>
    </row>
    <row r="7" spans="1:22" ht="27" x14ac:dyDescent="0.2">
      <c r="A7" s="126">
        <v>46182</v>
      </c>
      <c r="B7" s="124" t="s">
        <v>298</v>
      </c>
      <c r="C7" s="116" t="s">
        <v>273</v>
      </c>
      <c r="D7" s="117" t="s">
        <v>304</v>
      </c>
      <c r="E7" s="117"/>
      <c r="F7" s="117"/>
      <c r="G7" s="118">
        <v>46186</v>
      </c>
      <c r="H7" s="118">
        <v>46238</v>
      </c>
      <c r="I7" s="119" t="s">
        <v>299</v>
      </c>
      <c r="J7" s="120" t="s">
        <v>300</v>
      </c>
      <c r="K7" s="121" t="s">
        <v>274</v>
      </c>
      <c r="L7" s="122">
        <v>4500</v>
      </c>
      <c r="M7" s="122"/>
      <c r="N7" s="122">
        <v>22500</v>
      </c>
      <c r="O7" s="123">
        <v>113925</v>
      </c>
      <c r="P7" s="121" t="s">
        <v>301</v>
      </c>
      <c r="Q7" s="116"/>
      <c r="R7" s="116" t="s">
        <v>143</v>
      </c>
      <c r="S7" s="116" t="s">
        <v>94</v>
      </c>
      <c r="T7" s="121" t="s">
        <v>275</v>
      </c>
      <c r="U7" s="116" t="s">
        <v>276</v>
      </c>
      <c r="V7" s="116" t="s">
        <v>277</v>
      </c>
    </row>
    <row r="9" spans="1:22" s="129" customFormat="1" ht="112" x14ac:dyDescent="0.2">
      <c r="I9" s="129" t="s">
        <v>305</v>
      </c>
      <c r="J9" s="130" t="s">
        <v>306</v>
      </c>
      <c r="K9" s="131" t="s">
        <v>307</v>
      </c>
      <c r="L9" s="129" t="s">
        <v>317</v>
      </c>
      <c r="M9" s="129" t="s">
        <v>308</v>
      </c>
      <c r="N9" s="129" t="s">
        <v>309</v>
      </c>
      <c r="O9" s="129" t="s">
        <v>310</v>
      </c>
      <c r="P9" s="131" t="s">
        <v>311</v>
      </c>
      <c r="Q9" s="228" t="s">
        <v>312</v>
      </c>
      <c r="R9" s="228"/>
      <c r="S9" s="132" t="s">
        <v>313</v>
      </c>
      <c r="T9" s="131" t="s">
        <v>314</v>
      </c>
      <c r="U9" s="132" t="s">
        <v>315</v>
      </c>
      <c r="V9" s="132" t="s">
        <v>316</v>
      </c>
    </row>
  </sheetData>
  <mergeCells count="1">
    <mergeCell ref="Q9:R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F0F24-EBFB-A348-A6E2-C4A0F6795DD9}">
  <sheetPr>
    <tabColor theme="9" tint="0.59999389629810485"/>
  </sheetPr>
  <dimension ref="A1:K670"/>
  <sheetViews>
    <sheetView zoomScale="115" zoomScaleNormal="115" workbookViewId="0">
      <pane ySplit="2" topLeftCell="A3" activePane="bottomLeft" state="frozen"/>
      <selection pane="bottomLeft" activeCell="H16" sqref="H16"/>
    </sheetView>
  </sheetViews>
  <sheetFormatPr baseColWidth="10" defaultColWidth="8.83203125" defaultRowHeight="15" x14ac:dyDescent="0.2"/>
  <cols>
    <col min="1" max="1" width="9.33203125" bestFit="1" customWidth="1"/>
    <col min="2" max="2" width="7.33203125" bestFit="1" customWidth="1"/>
    <col min="3" max="3" width="17" bestFit="1" customWidth="1"/>
    <col min="4" max="5" width="8.83203125" style="149" customWidth="1"/>
    <col min="6" max="6" width="16.33203125" customWidth="1"/>
    <col min="7" max="7" width="11.5" bestFit="1" customWidth="1"/>
    <col min="8" max="8" width="24.33203125" style="147" bestFit="1" customWidth="1"/>
    <col min="9" max="9" width="14.6640625" style="148" bestFit="1" customWidth="1"/>
    <col min="10" max="10" width="11.33203125" customWidth="1"/>
    <col min="11" max="11" width="12.5" style="146" bestFit="1" customWidth="1"/>
    <col min="13" max="13" width="19" bestFit="1" customWidth="1"/>
  </cols>
  <sheetData>
    <row r="1" spans="1:11" ht="30.75" customHeight="1" x14ac:dyDescent="0.3">
      <c r="A1" s="134" t="s">
        <v>318</v>
      </c>
      <c r="B1" s="134"/>
      <c r="C1" s="134"/>
      <c r="D1" s="134"/>
      <c r="E1" s="134"/>
      <c r="F1" s="134"/>
      <c r="G1" s="134"/>
      <c r="H1" s="134"/>
      <c r="I1" s="135"/>
      <c r="J1" s="136"/>
      <c r="K1" s="136"/>
    </row>
    <row r="2" spans="1:11" ht="45.75" customHeight="1" x14ac:dyDescent="0.2">
      <c r="A2" s="137" t="s">
        <v>253</v>
      </c>
      <c r="B2" s="137" t="s">
        <v>254</v>
      </c>
      <c r="C2" s="137" t="s">
        <v>255</v>
      </c>
      <c r="D2" s="138" t="s">
        <v>258</v>
      </c>
      <c r="E2" s="138" t="s">
        <v>259</v>
      </c>
      <c r="F2" s="137" t="s">
        <v>319</v>
      </c>
      <c r="G2" s="137" t="s">
        <v>320</v>
      </c>
      <c r="H2" s="137" t="s">
        <v>321</v>
      </c>
      <c r="I2" s="137" t="s">
        <v>322</v>
      </c>
      <c r="J2" s="137" t="s">
        <v>323</v>
      </c>
      <c r="K2" s="137" t="s">
        <v>324</v>
      </c>
    </row>
    <row r="3" spans="1:11" x14ac:dyDescent="0.2">
      <c r="A3" s="124" t="s">
        <v>326</v>
      </c>
      <c r="B3" s="116" t="s">
        <v>282</v>
      </c>
      <c r="C3" s="117" t="s">
        <v>335</v>
      </c>
      <c r="D3" s="118">
        <v>46197</v>
      </c>
      <c r="E3" s="118">
        <v>46226</v>
      </c>
      <c r="F3" s="120" t="s">
        <v>327</v>
      </c>
      <c r="G3" s="123">
        <v>158960</v>
      </c>
      <c r="H3" s="142" t="s">
        <v>283</v>
      </c>
      <c r="I3" s="139">
        <f>G3</f>
        <v>158960</v>
      </c>
      <c r="J3" s="140">
        <v>46245</v>
      </c>
      <c r="K3" s="144"/>
    </row>
    <row r="4" spans="1:11" x14ac:dyDescent="0.2">
      <c r="A4" s="124" t="s">
        <v>328</v>
      </c>
      <c r="B4" s="116" t="s">
        <v>278</v>
      </c>
      <c r="C4" s="117" t="s">
        <v>336</v>
      </c>
      <c r="D4" s="118">
        <v>46204</v>
      </c>
      <c r="E4" s="118">
        <v>46237</v>
      </c>
      <c r="F4" s="120" t="s">
        <v>329</v>
      </c>
      <c r="G4" s="123">
        <v>144648</v>
      </c>
      <c r="H4" s="121" t="s">
        <v>279</v>
      </c>
      <c r="I4" s="139"/>
      <c r="J4" s="140"/>
      <c r="K4" s="141"/>
    </row>
    <row r="5" spans="1:11" x14ac:dyDescent="0.2">
      <c r="A5" s="124"/>
      <c r="B5" s="116"/>
      <c r="C5" s="117"/>
      <c r="D5" s="118"/>
      <c r="E5" s="118"/>
      <c r="F5" s="120" t="s">
        <v>325</v>
      </c>
      <c r="G5" s="123">
        <v>1480</v>
      </c>
      <c r="H5" s="142">
        <v>0.2</v>
      </c>
      <c r="I5" s="139">
        <v>28929.599999999999</v>
      </c>
      <c r="J5" s="140">
        <v>46196</v>
      </c>
      <c r="K5" s="141"/>
    </row>
    <row r="6" spans="1:11" x14ac:dyDescent="0.2">
      <c r="A6" s="124"/>
      <c r="B6" s="116"/>
      <c r="C6" s="117"/>
      <c r="D6" s="118"/>
      <c r="E6" s="118"/>
      <c r="F6" s="120"/>
      <c r="G6" s="145">
        <f>SUM(G4:G5)</f>
        <v>146128</v>
      </c>
      <c r="H6" s="142">
        <v>0.6</v>
      </c>
      <c r="I6" s="139">
        <f>G6*H6</f>
        <v>87676.800000000003</v>
      </c>
      <c r="J6" s="140">
        <v>46230</v>
      </c>
      <c r="K6" s="141"/>
    </row>
    <row r="7" spans="1:11" x14ac:dyDescent="0.2">
      <c r="A7" s="124"/>
      <c r="B7" s="116"/>
      <c r="C7" s="117"/>
      <c r="D7" s="118"/>
      <c r="E7" s="118"/>
      <c r="F7" s="120"/>
      <c r="G7" s="123"/>
      <c r="H7" s="142">
        <v>0.2</v>
      </c>
      <c r="I7" s="139"/>
      <c r="J7" s="140"/>
      <c r="K7" s="141"/>
    </row>
    <row r="8" spans="1:11" x14ac:dyDescent="0.2">
      <c r="A8" s="124" t="s">
        <v>330</v>
      </c>
      <c r="B8" s="116" t="s">
        <v>282</v>
      </c>
      <c r="C8" s="117" t="s">
        <v>335</v>
      </c>
      <c r="D8" s="118">
        <v>46204</v>
      </c>
      <c r="E8" s="118">
        <v>46252</v>
      </c>
      <c r="F8" s="120" t="s">
        <v>331</v>
      </c>
      <c r="G8" s="123">
        <v>150825</v>
      </c>
      <c r="H8" s="142" t="s">
        <v>283</v>
      </c>
      <c r="I8" s="139"/>
      <c r="J8" s="140"/>
      <c r="K8" s="141"/>
    </row>
    <row r="9" spans="1:11" x14ac:dyDescent="0.2">
      <c r="A9" s="124" t="s">
        <v>332</v>
      </c>
      <c r="B9" s="116" t="s">
        <v>333</v>
      </c>
      <c r="C9" s="117" t="s">
        <v>337</v>
      </c>
      <c r="D9" s="118">
        <v>46204</v>
      </c>
      <c r="E9" s="118">
        <v>46207</v>
      </c>
      <c r="F9" s="120" t="s">
        <v>334</v>
      </c>
      <c r="G9" s="123">
        <v>75690</v>
      </c>
      <c r="H9" s="142" t="s">
        <v>274</v>
      </c>
      <c r="I9" s="139"/>
      <c r="J9" s="140"/>
      <c r="K9" s="141"/>
    </row>
    <row r="10" spans="1:11" x14ac:dyDescent="0.2">
      <c r="A10" s="124"/>
      <c r="B10" s="116"/>
      <c r="C10" s="117"/>
      <c r="D10" s="118"/>
      <c r="E10" s="118"/>
      <c r="F10" s="120"/>
      <c r="G10" s="123"/>
      <c r="H10" s="142">
        <v>0.2</v>
      </c>
      <c r="I10" s="139">
        <v>15138</v>
      </c>
      <c r="J10" s="140">
        <v>46184</v>
      </c>
      <c r="K10" s="141"/>
    </row>
    <row r="11" spans="1:11" x14ac:dyDescent="0.2">
      <c r="A11" s="124"/>
      <c r="B11" s="116"/>
      <c r="C11" s="117"/>
      <c r="D11" s="118"/>
      <c r="E11" s="118"/>
      <c r="F11" s="120"/>
      <c r="G11" s="123"/>
      <c r="H11" s="142">
        <v>0.8</v>
      </c>
      <c r="I11" s="139">
        <f>G9-I10</f>
        <v>60552</v>
      </c>
      <c r="J11" s="140">
        <v>46206</v>
      </c>
      <c r="K11" s="141"/>
    </row>
    <row r="12" spans="1:11" x14ac:dyDescent="0.2">
      <c r="D12"/>
      <c r="E12"/>
      <c r="H12"/>
      <c r="I12"/>
      <c r="K12"/>
    </row>
    <row r="13" spans="1:11" x14ac:dyDescent="0.2">
      <c r="D13"/>
      <c r="E13"/>
      <c r="H13"/>
      <c r="I13"/>
      <c r="K13"/>
    </row>
    <row r="14" spans="1:11" x14ac:dyDescent="0.2">
      <c r="A14" t="s">
        <v>338</v>
      </c>
      <c r="D14" t="s">
        <v>340</v>
      </c>
      <c r="E14" t="s">
        <v>339</v>
      </c>
      <c r="H14" t="s">
        <v>341</v>
      </c>
      <c r="I14"/>
      <c r="K14"/>
    </row>
    <row r="15" spans="1:11" x14ac:dyDescent="0.2">
      <c r="D15"/>
      <c r="E15"/>
      <c r="H15" t="s">
        <v>342</v>
      </c>
      <c r="I15"/>
      <c r="K15"/>
    </row>
    <row r="16" spans="1:11" x14ac:dyDescent="0.2">
      <c r="D16"/>
      <c r="E16"/>
      <c r="H16"/>
      <c r="I16"/>
      <c r="K16"/>
    </row>
    <row r="17" customFormat="1" x14ac:dyDescent="0.2"/>
    <row r="18" customFormat="1" x14ac:dyDescent="0.2"/>
    <row r="19" customFormat="1" x14ac:dyDescent="0.2"/>
    <row r="20" customFormat="1" x14ac:dyDescent="0.2"/>
    <row r="21" customFormat="1" x14ac:dyDescent="0.2"/>
    <row r="22" customFormat="1" x14ac:dyDescent="0.2"/>
    <row r="23" customFormat="1" x14ac:dyDescent="0.2"/>
    <row r="24" customFormat="1" x14ac:dyDescent="0.2"/>
    <row r="25" customFormat="1" x14ac:dyDescent="0.2"/>
    <row r="26" customFormat="1" x14ac:dyDescent="0.2"/>
    <row r="27" customFormat="1" x14ac:dyDescent="0.2"/>
    <row r="28" customFormat="1" x14ac:dyDescent="0.2"/>
    <row r="29" customFormat="1" x14ac:dyDescent="0.2"/>
    <row r="30" customFormat="1" x14ac:dyDescent="0.2"/>
    <row r="31" customFormat="1" x14ac:dyDescent="0.2"/>
    <row r="32" customFormat="1" x14ac:dyDescent="0.2"/>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row r="43" customFormat="1" x14ac:dyDescent="0.2"/>
    <row r="44" customFormat="1" x14ac:dyDescent="0.2"/>
    <row r="45" customFormat="1" x14ac:dyDescent="0.2"/>
    <row r="46" customFormat="1" x14ac:dyDescent="0.2"/>
    <row r="47" customFormat="1" x14ac:dyDescent="0.2"/>
    <row r="48" customFormat="1" x14ac:dyDescent="0.2"/>
    <row r="49" customFormat="1" x14ac:dyDescent="0.2"/>
    <row r="50" customFormat="1" ht="19.5" customHeight="1" x14ac:dyDescent="0.2"/>
    <row r="51" customFormat="1" ht="19.5" customHeight="1" x14ac:dyDescent="0.2"/>
    <row r="52" customFormat="1" ht="19.5" customHeight="1" x14ac:dyDescent="0.2"/>
    <row r="53" customFormat="1" ht="16.5" customHeight="1" x14ac:dyDescent="0.2"/>
    <row r="54" customFormat="1" ht="15" customHeigh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ht="13.5" customHeight="1" x14ac:dyDescent="0.2"/>
    <row r="105" customFormat="1" ht="13.5" customHeight="1" x14ac:dyDescent="0.2"/>
    <row r="106" customFormat="1" ht="13.5" customHeight="1" x14ac:dyDescent="0.2"/>
    <row r="107" customFormat="1" ht="13.5" customHeight="1" x14ac:dyDescent="0.2"/>
    <row r="108" customFormat="1" ht="13.5" customHeight="1" x14ac:dyDescent="0.2"/>
    <row r="109" customFormat="1" ht="13.5" customHeight="1" x14ac:dyDescent="0.2"/>
    <row r="110" customFormat="1" x14ac:dyDescent="0.2"/>
    <row r="111" customFormat="1" x14ac:dyDescent="0.2"/>
    <row r="112" customFormat="1" x14ac:dyDescent="0.2"/>
    <row r="113" customFormat="1" x14ac:dyDescent="0.2"/>
    <row r="114" customFormat="1" ht="28.5" customHeight="1" x14ac:dyDescent="0.2"/>
    <row r="115" customFormat="1" ht="12.75" customHeight="1" x14ac:dyDescent="0.2"/>
    <row r="116" customFormat="1" ht="12.75" customHeigh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ht="15.75" customHeight="1" x14ac:dyDescent="0.2"/>
    <row r="134" customFormat="1" ht="15.75" customHeigh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hidden="1" x14ac:dyDescent="0.2"/>
    <row r="264" customFormat="1" ht="18" hidden="1" customHeight="1" x14ac:dyDescent="0.2"/>
    <row r="265" customFormat="1" ht="18" hidden="1" customHeight="1" x14ac:dyDescent="0.2"/>
    <row r="266" customFormat="1" ht="18" hidden="1" customHeight="1" x14ac:dyDescent="0.2"/>
    <row r="267" customFormat="1" ht="18" hidden="1" customHeight="1" x14ac:dyDescent="0.2"/>
    <row r="268" customFormat="1" ht="18" hidden="1" customHeight="1" x14ac:dyDescent="0.2"/>
    <row r="269" customFormat="1" ht="18" hidden="1" customHeight="1" x14ac:dyDescent="0.2"/>
    <row r="270" customFormat="1" ht="18" hidden="1" customHeight="1" x14ac:dyDescent="0.2"/>
    <row r="271" customFormat="1" ht="18" hidden="1" customHeight="1" x14ac:dyDescent="0.2"/>
    <row r="272" customFormat="1" ht="18" hidden="1" customHeight="1" x14ac:dyDescent="0.2"/>
    <row r="273" customFormat="1" ht="18" hidden="1" customHeight="1" x14ac:dyDescent="0.2"/>
    <row r="274" customFormat="1" ht="18" hidden="1" customHeight="1" x14ac:dyDescent="0.2"/>
    <row r="275" customFormat="1" hidden="1" x14ac:dyDescent="0.2"/>
    <row r="276" customFormat="1" hidden="1" x14ac:dyDescent="0.2"/>
    <row r="277" customFormat="1" hidden="1" x14ac:dyDescent="0.2"/>
    <row r="278" customFormat="1" hidden="1" x14ac:dyDescent="0.2"/>
    <row r="279" customFormat="1" hidden="1" x14ac:dyDescent="0.2"/>
    <row r="280" customFormat="1" hidden="1" x14ac:dyDescent="0.2"/>
    <row r="281" customFormat="1" hidden="1" x14ac:dyDescent="0.2"/>
    <row r="282" customFormat="1" hidden="1" x14ac:dyDescent="0.2"/>
    <row r="283" customFormat="1" hidden="1" x14ac:dyDescent="0.2"/>
    <row r="284" customFormat="1" hidden="1" x14ac:dyDescent="0.2"/>
    <row r="285" customFormat="1" hidden="1" x14ac:dyDescent="0.2"/>
    <row r="286" customFormat="1" hidden="1" x14ac:dyDescent="0.2"/>
    <row r="287" customFormat="1" hidden="1" x14ac:dyDescent="0.2"/>
    <row r="288" customFormat="1" hidden="1" x14ac:dyDescent="0.2"/>
    <row r="289" customFormat="1" hidden="1" x14ac:dyDescent="0.2"/>
    <row r="290" customFormat="1" hidden="1" x14ac:dyDescent="0.2"/>
    <row r="291" customFormat="1" hidden="1" x14ac:dyDescent="0.2"/>
    <row r="292" customFormat="1" hidden="1" x14ac:dyDescent="0.2"/>
    <row r="293" customFormat="1" hidden="1" x14ac:dyDescent="0.2"/>
    <row r="294" customFormat="1" hidden="1" x14ac:dyDescent="0.2"/>
    <row r="295" customFormat="1" hidden="1" x14ac:dyDescent="0.2"/>
    <row r="296" customFormat="1" hidden="1" x14ac:dyDescent="0.2"/>
    <row r="297" customFormat="1" hidden="1" x14ac:dyDescent="0.2"/>
    <row r="298" customFormat="1" hidden="1" x14ac:dyDescent="0.2"/>
    <row r="299" customFormat="1" hidden="1" x14ac:dyDescent="0.2"/>
    <row r="300" customFormat="1" hidden="1" x14ac:dyDescent="0.2"/>
    <row r="301" customFormat="1" hidden="1" x14ac:dyDescent="0.2"/>
    <row r="302" customFormat="1" hidden="1" x14ac:dyDescent="0.2"/>
    <row r="303" customFormat="1" hidden="1" x14ac:dyDescent="0.2"/>
    <row r="304" customFormat="1" hidden="1" x14ac:dyDescent="0.2"/>
    <row r="305" customFormat="1" hidden="1" x14ac:dyDescent="0.2"/>
    <row r="306" customFormat="1" hidden="1" x14ac:dyDescent="0.2"/>
    <row r="307" customFormat="1" hidden="1" x14ac:dyDescent="0.2"/>
    <row r="308" customFormat="1" hidden="1" x14ac:dyDescent="0.2"/>
    <row r="309" customFormat="1" hidden="1" x14ac:dyDescent="0.2"/>
    <row r="310" customFormat="1" hidden="1" x14ac:dyDescent="0.2"/>
    <row r="311" customFormat="1" hidden="1" x14ac:dyDescent="0.2"/>
    <row r="312" customFormat="1" hidden="1" x14ac:dyDescent="0.2"/>
    <row r="313" customFormat="1" hidden="1" x14ac:dyDescent="0.2"/>
    <row r="314" customFormat="1" hidden="1" x14ac:dyDescent="0.2"/>
    <row r="315" customFormat="1" hidden="1" x14ac:dyDescent="0.2"/>
    <row r="316" customFormat="1" hidden="1" x14ac:dyDescent="0.2"/>
    <row r="317" customFormat="1" hidden="1" x14ac:dyDescent="0.2"/>
    <row r="318" customFormat="1" hidden="1" x14ac:dyDescent="0.2"/>
    <row r="319" customFormat="1" hidden="1" x14ac:dyDescent="0.2"/>
    <row r="320" customFormat="1" hidden="1" x14ac:dyDescent="0.2"/>
    <row r="321" customFormat="1" hidden="1" x14ac:dyDescent="0.2"/>
    <row r="322" customFormat="1" hidden="1" x14ac:dyDescent="0.2"/>
    <row r="323" customFormat="1" hidden="1" x14ac:dyDescent="0.2"/>
    <row r="324" customFormat="1" hidden="1" x14ac:dyDescent="0.2"/>
    <row r="325" customFormat="1" hidden="1" x14ac:dyDescent="0.2"/>
    <row r="326" customFormat="1" hidden="1" x14ac:dyDescent="0.2"/>
    <row r="327" customFormat="1" hidden="1" x14ac:dyDescent="0.2"/>
    <row r="328" customFormat="1" hidden="1" x14ac:dyDescent="0.2"/>
    <row r="329" customFormat="1" hidden="1" x14ac:dyDescent="0.2"/>
    <row r="330" customFormat="1" hidden="1" x14ac:dyDescent="0.2"/>
    <row r="331" customFormat="1" hidden="1" x14ac:dyDescent="0.2"/>
    <row r="332" customFormat="1" hidden="1" x14ac:dyDescent="0.2"/>
    <row r="333" customFormat="1" hidden="1" x14ac:dyDescent="0.2"/>
    <row r="334" customFormat="1" hidden="1" x14ac:dyDescent="0.2"/>
    <row r="335" customFormat="1" hidden="1" x14ac:dyDescent="0.2"/>
    <row r="336" customFormat="1" hidden="1" x14ac:dyDescent="0.2"/>
    <row r="337" customFormat="1" hidden="1" x14ac:dyDescent="0.2"/>
    <row r="338" customFormat="1" hidden="1" x14ac:dyDescent="0.2"/>
    <row r="339" customFormat="1" hidden="1" x14ac:dyDescent="0.2"/>
    <row r="340" customFormat="1" hidden="1" x14ac:dyDescent="0.2"/>
    <row r="341" customFormat="1" hidden="1" x14ac:dyDescent="0.2"/>
    <row r="342" customFormat="1" hidden="1" x14ac:dyDescent="0.2"/>
    <row r="343" customFormat="1" hidden="1" x14ac:dyDescent="0.2"/>
    <row r="344" customFormat="1" hidden="1" x14ac:dyDescent="0.2"/>
    <row r="345" customFormat="1" hidden="1" x14ac:dyDescent="0.2"/>
    <row r="346" customFormat="1" hidden="1" x14ac:dyDescent="0.2"/>
    <row r="347" customFormat="1" hidden="1" x14ac:dyDescent="0.2"/>
    <row r="348" customFormat="1" hidden="1" x14ac:dyDescent="0.2"/>
    <row r="349" customFormat="1" hidden="1" x14ac:dyDescent="0.2"/>
    <row r="350" customFormat="1" hidden="1" x14ac:dyDescent="0.2"/>
    <row r="351" customFormat="1" hidden="1" x14ac:dyDescent="0.2"/>
    <row r="352" customFormat="1" hidden="1" x14ac:dyDescent="0.2"/>
    <row r="353" customFormat="1" hidden="1" x14ac:dyDescent="0.2"/>
    <row r="354" customFormat="1" hidden="1" x14ac:dyDescent="0.2"/>
    <row r="355" customFormat="1" hidden="1" x14ac:dyDescent="0.2"/>
    <row r="356" customFormat="1" hidden="1" x14ac:dyDescent="0.2"/>
    <row r="357" customFormat="1" hidden="1" x14ac:dyDescent="0.2"/>
    <row r="358" customFormat="1" hidden="1" x14ac:dyDescent="0.2"/>
    <row r="359" customFormat="1" hidden="1" x14ac:dyDescent="0.2"/>
    <row r="360" customFormat="1" hidden="1" x14ac:dyDescent="0.2"/>
    <row r="361" customFormat="1" hidden="1" x14ac:dyDescent="0.2"/>
    <row r="362" customFormat="1" hidden="1" x14ac:dyDescent="0.2"/>
    <row r="363" customFormat="1" hidden="1" x14ac:dyDescent="0.2"/>
    <row r="364" customFormat="1" hidden="1" x14ac:dyDescent="0.2"/>
    <row r="365" customFormat="1" hidden="1" x14ac:dyDescent="0.2"/>
    <row r="366" customFormat="1" hidden="1" x14ac:dyDescent="0.2"/>
    <row r="367" customFormat="1" hidden="1" x14ac:dyDescent="0.2"/>
    <row r="368" customFormat="1" hidden="1" x14ac:dyDescent="0.2"/>
    <row r="369" customFormat="1" hidden="1" x14ac:dyDescent="0.2"/>
    <row r="370" customFormat="1" hidden="1" x14ac:dyDescent="0.2"/>
    <row r="371" customFormat="1" hidden="1" x14ac:dyDescent="0.2"/>
    <row r="372" customFormat="1" hidden="1" x14ac:dyDescent="0.2"/>
    <row r="373" customFormat="1" hidden="1" x14ac:dyDescent="0.2"/>
    <row r="374" customFormat="1" hidden="1" x14ac:dyDescent="0.2"/>
    <row r="375" customFormat="1" hidden="1" x14ac:dyDescent="0.2"/>
    <row r="376" customFormat="1" hidden="1" x14ac:dyDescent="0.2"/>
    <row r="377" customFormat="1" hidden="1" x14ac:dyDescent="0.2"/>
    <row r="378" customFormat="1" hidden="1" x14ac:dyDescent="0.2"/>
    <row r="379" customFormat="1" hidden="1" x14ac:dyDescent="0.2"/>
    <row r="380" customFormat="1" hidden="1" x14ac:dyDescent="0.2"/>
    <row r="381" customFormat="1" hidden="1" x14ac:dyDescent="0.2"/>
    <row r="382" customFormat="1" hidden="1" x14ac:dyDescent="0.2"/>
    <row r="383" customFormat="1" hidden="1" x14ac:dyDescent="0.2"/>
    <row r="384" customFormat="1" hidden="1" x14ac:dyDescent="0.2"/>
    <row r="385" customFormat="1" hidden="1" x14ac:dyDescent="0.2"/>
    <row r="386" customFormat="1" hidden="1" x14ac:dyDescent="0.2"/>
    <row r="387" customFormat="1" hidden="1" x14ac:dyDescent="0.2"/>
    <row r="388" customFormat="1" hidden="1" x14ac:dyDescent="0.2"/>
    <row r="389" customFormat="1" hidden="1" x14ac:dyDescent="0.2"/>
    <row r="390" customFormat="1" hidden="1" x14ac:dyDescent="0.2"/>
    <row r="391" customFormat="1" hidden="1" x14ac:dyDescent="0.2"/>
    <row r="392" customFormat="1" hidden="1" x14ac:dyDescent="0.2"/>
    <row r="393" customFormat="1" hidden="1" x14ac:dyDescent="0.2"/>
    <row r="394" customFormat="1" hidden="1" x14ac:dyDescent="0.2"/>
    <row r="395" customFormat="1" hidden="1" x14ac:dyDescent="0.2"/>
    <row r="396" customFormat="1" hidden="1" x14ac:dyDescent="0.2"/>
    <row r="397" customFormat="1" hidden="1" x14ac:dyDescent="0.2"/>
    <row r="398" customFormat="1" hidden="1" x14ac:dyDescent="0.2"/>
    <row r="399" customFormat="1" hidden="1" x14ac:dyDescent="0.2"/>
    <row r="400" customFormat="1" hidden="1" x14ac:dyDescent="0.2"/>
    <row r="401" customFormat="1" hidden="1" x14ac:dyDescent="0.2"/>
    <row r="402" customFormat="1" hidden="1" x14ac:dyDescent="0.2"/>
    <row r="403" customFormat="1" hidden="1" x14ac:dyDescent="0.2"/>
    <row r="404" customFormat="1" hidden="1" x14ac:dyDescent="0.2"/>
    <row r="405" customFormat="1" hidden="1" x14ac:dyDescent="0.2"/>
    <row r="406" customFormat="1" hidden="1" x14ac:dyDescent="0.2"/>
    <row r="407" customFormat="1" hidden="1" x14ac:dyDescent="0.2"/>
    <row r="408" customFormat="1" hidden="1" x14ac:dyDescent="0.2"/>
    <row r="409" customFormat="1" hidden="1" x14ac:dyDescent="0.2"/>
    <row r="410" customFormat="1" hidden="1" x14ac:dyDescent="0.2"/>
    <row r="411" customFormat="1" hidden="1" x14ac:dyDescent="0.2"/>
    <row r="412" customFormat="1" hidden="1" x14ac:dyDescent="0.2"/>
    <row r="413" customFormat="1" hidden="1" x14ac:dyDescent="0.2"/>
    <row r="414" customFormat="1" hidden="1" x14ac:dyDescent="0.2"/>
    <row r="415" customFormat="1" hidden="1" x14ac:dyDescent="0.2"/>
    <row r="416" customFormat="1" hidden="1" x14ac:dyDescent="0.2"/>
    <row r="417" customFormat="1" hidden="1" x14ac:dyDescent="0.2"/>
    <row r="418" customFormat="1" hidden="1" x14ac:dyDescent="0.2"/>
    <row r="419" customFormat="1" hidden="1" x14ac:dyDescent="0.2"/>
    <row r="420" customFormat="1" hidden="1" x14ac:dyDescent="0.2"/>
    <row r="421" customFormat="1" hidden="1" x14ac:dyDescent="0.2"/>
    <row r="422" customFormat="1" hidden="1" x14ac:dyDescent="0.2"/>
    <row r="423" customFormat="1" hidden="1" x14ac:dyDescent="0.2"/>
    <row r="424" customFormat="1" hidden="1" x14ac:dyDescent="0.2"/>
    <row r="425" customFormat="1" hidden="1" x14ac:dyDescent="0.2"/>
    <row r="426" customFormat="1" hidden="1" x14ac:dyDescent="0.2"/>
    <row r="427" customFormat="1" hidden="1" x14ac:dyDescent="0.2"/>
    <row r="428" customFormat="1" hidden="1" x14ac:dyDescent="0.2"/>
    <row r="429" customFormat="1" hidden="1" x14ac:dyDescent="0.2"/>
    <row r="430" customFormat="1" hidden="1" x14ac:dyDescent="0.2"/>
    <row r="431" customFormat="1" hidden="1" x14ac:dyDescent="0.2"/>
    <row r="432" customFormat="1" hidden="1" x14ac:dyDescent="0.2"/>
    <row r="433" customFormat="1" hidden="1" x14ac:dyDescent="0.2"/>
    <row r="434" customFormat="1" hidden="1" x14ac:dyDescent="0.2"/>
    <row r="435" customFormat="1" hidden="1" x14ac:dyDescent="0.2"/>
    <row r="436" customFormat="1" hidden="1" x14ac:dyDescent="0.2"/>
    <row r="437" customFormat="1" hidden="1" x14ac:dyDescent="0.2"/>
    <row r="438" customFormat="1" hidden="1" x14ac:dyDescent="0.2"/>
    <row r="439" customFormat="1" hidden="1" x14ac:dyDescent="0.2"/>
    <row r="440" customFormat="1" hidden="1" x14ac:dyDescent="0.2"/>
    <row r="441" customFormat="1" hidden="1" x14ac:dyDescent="0.2"/>
    <row r="442" customFormat="1" hidden="1" x14ac:dyDescent="0.2"/>
    <row r="443" customFormat="1" hidden="1" x14ac:dyDescent="0.2"/>
    <row r="444" customFormat="1" hidden="1" x14ac:dyDescent="0.2"/>
    <row r="445" customFormat="1" hidden="1" x14ac:dyDescent="0.2"/>
    <row r="446" customFormat="1" hidden="1" x14ac:dyDescent="0.2"/>
    <row r="447" customFormat="1" hidden="1" x14ac:dyDescent="0.2"/>
    <row r="448" customFormat="1" hidden="1" x14ac:dyDescent="0.2"/>
    <row r="449" customFormat="1" hidden="1" x14ac:dyDescent="0.2"/>
    <row r="450" customFormat="1" hidden="1" x14ac:dyDescent="0.2"/>
    <row r="451" customFormat="1" hidden="1" x14ac:dyDescent="0.2"/>
    <row r="452" customFormat="1" hidden="1" x14ac:dyDescent="0.2"/>
    <row r="453" customFormat="1" hidden="1" x14ac:dyDescent="0.2"/>
    <row r="454" customFormat="1" hidden="1" x14ac:dyDescent="0.2"/>
    <row r="455" customFormat="1" hidden="1" x14ac:dyDescent="0.2"/>
    <row r="456" customFormat="1" hidden="1" x14ac:dyDescent="0.2"/>
    <row r="457" customFormat="1" hidden="1" x14ac:dyDescent="0.2"/>
    <row r="458" customFormat="1" hidden="1" x14ac:dyDescent="0.2"/>
    <row r="459" customFormat="1" hidden="1" x14ac:dyDescent="0.2"/>
    <row r="460" customFormat="1" hidden="1" x14ac:dyDescent="0.2"/>
    <row r="461" customFormat="1" hidden="1" x14ac:dyDescent="0.2"/>
    <row r="462" customFormat="1" hidden="1" x14ac:dyDescent="0.2"/>
    <row r="463" customFormat="1" hidden="1" x14ac:dyDescent="0.2"/>
    <row r="464" customFormat="1" hidden="1" x14ac:dyDescent="0.2"/>
    <row r="465" customFormat="1" hidden="1" x14ac:dyDescent="0.2"/>
    <row r="466" customFormat="1" hidden="1" x14ac:dyDescent="0.2"/>
    <row r="467" customFormat="1" hidden="1" x14ac:dyDescent="0.2"/>
    <row r="468" customFormat="1" hidden="1" x14ac:dyDescent="0.2"/>
    <row r="469" customFormat="1" hidden="1" x14ac:dyDescent="0.2"/>
    <row r="470" customFormat="1" hidden="1" x14ac:dyDescent="0.2"/>
    <row r="471" customFormat="1" hidden="1" x14ac:dyDescent="0.2"/>
    <row r="472" customFormat="1" hidden="1" x14ac:dyDescent="0.2"/>
    <row r="473" customFormat="1" hidden="1" x14ac:dyDescent="0.2"/>
    <row r="474" customFormat="1" hidden="1" x14ac:dyDescent="0.2"/>
    <row r="475" customFormat="1" hidden="1" x14ac:dyDescent="0.2"/>
    <row r="476" customFormat="1" hidden="1" x14ac:dyDescent="0.2"/>
    <row r="477" customFormat="1" hidden="1" x14ac:dyDescent="0.2"/>
    <row r="478" customFormat="1" hidden="1" x14ac:dyDescent="0.2"/>
    <row r="479" customFormat="1" hidden="1" x14ac:dyDescent="0.2"/>
    <row r="480" customFormat="1" hidden="1" x14ac:dyDescent="0.2"/>
    <row r="481" customFormat="1" hidden="1" x14ac:dyDescent="0.2"/>
    <row r="482" customFormat="1" hidden="1" x14ac:dyDescent="0.2"/>
    <row r="483" customFormat="1" hidden="1" x14ac:dyDescent="0.2"/>
    <row r="484" customFormat="1" hidden="1" x14ac:dyDescent="0.2"/>
    <row r="485" customFormat="1" hidden="1" x14ac:dyDescent="0.2"/>
    <row r="486" customFormat="1" hidden="1" x14ac:dyDescent="0.2"/>
    <row r="487" customFormat="1" hidden="1" x14ac:dyDescent="0.2"/>
    <row r="488" customFormat="1" hidden="1" x14ac:dyDescent="0.2"/>
    <row r="489" customFormat="1" hidden="1" x14ac:dyDescent="0.2"/>
    <row r="490" customFormat="1" hidden="1" x14ac:dyDescent="0.2"/>
    <row r="491" customFormat="1" hidden="1" x14ac:dyDescent="0.2"/>
    <row r="492" customFormat="1" hidden="1" x14ac:dyDescent="0.2"/>
    <row r="493" customFormat="1" hidden="1" x14ac:dyDescent="0.2"/>
    <row r="494" customFormat="1" hidden="1" x14ac:dyDescent="0.2"/>
    <row r="495" customFormat="1" hidden="1" x14ac:dyDescent="0.2"/>
    <row r="496" customFormat="1" hidden="1" x14ac:dyDescent="0.2"/>
    <row r="497" customFormat="1" hidden="1" x14ac:dyDescent="0.2"/>
    <row r="498" customFormat="1" hidden="1" x14ac:dyDescent="0.2"/>
    <row r="499" customFormat="1" hidden="1" x14ac:dyDescent="0.2"/>
    <row r="500" customFormat="1" hidden="1" x14ac:dyDescent="0.2"/>
    <row r="501" customFormat="1" hidden="1" x14ac:dyDescent="0.2"/>
    <row r="502" customFormat="1" hidden="1" x14ac:dyDescent="0.2"/>
    <row r="503" customFormat="1" hidden="1" x14ac:dyDescent="0.2"/>
    <row r="504" customFormat="1" hidden="1" x14ac:dyDescent="0.2"/>
    <row r="505" customFormat="1" hidden="1" x14ac:dyDescent="0.2"/>
    <row r="506" customFormat="1" hidden="1" x14ac:dyDescent="0.2"/>
    <row r="507" customFormat="1" hidden="1" x14ac:dyDescent="0.2"/>
    <row r="508" customFormat="1" hidden="1" x14ac:dyDescent="0.2"/>
    <row r="509" customFormat="1" hidden="1" x14ac:dyDescent="0.2"/>
    <row r="510" customFormat="1" hidden="1" x14ac:dyDescent="0.2"/>
    <row r="511" customFormat="1" hidden="1" x14ac:dyDescent="0.2"/>
    <row r="512" customFormat="1" hidden="1" x14ac:dyDescent="0.2"/>
    <row r="513" customFormat="1" hidden="1" x14ac:dyDescent="0.2"/>
    <row r="514" customFormat="1" hidden="1" x14ac:dyDescent="0.2"/>
    <row r="515" customFormat="1" hidden="1" x14ac:dyDescent="0.2"/>
    <row r="516" customFormat="1" hidden="1" x14ac:dyDescent="0.2"/>
    <row r="517" customFormat="1" hidden="1" x14ac:dyDescent="0.2"/>
    <row r="518" customFormat="1" hidden="1" x14ac:dyDescent="0.2"/>
    <row r="519" customFormat="1" hidden="1" x14ac:dyDescent="0.2"/>
    <row r="520" customFormat="1" hidden="1" x14ac:dyDescent="0.2"/>
    <row r="521" customFormat="1" hidden="1" x14ac:dyDescent="0.2"/>
    <row r="522" customFormat="1" hidden="1" x14ac:dyDescent="0.2"/>
    <row r="523" customFormat="1" hidden="1" x14ac:dyDescent="0.2"/>
    <row r="524" customFormat="1" hidden="1" x14ac:dyDescent="0.2"/>
    <row r="525" customFormat="1" hidden="1" x14ac:dyDescent="0.2"/>
    <row r="526" customFormat="1" hidden="1" x14ac:dyDescent="0.2"/>
    <row r="527" customFormat="1" hidden="1" x14ac:dyDescent="0.2"/>
    <row r="528" customFormat="1" hidden="1" x14ac:dyDescent="0.2"/>
    <row r="529" customFormat="1" hidden="1" x14ac:dyDescent="0.2"/>
    <row r="530" customFormat="1" hidden="1" x14ac:dyDescent="0.2"/>
    <row r="531" customFormat="1" hidden="1" x14ac:dyDescent="0.2"/>
    <row r="532" customFormat="1" hidden="1" x14ac:dyDescent="0.2"/>
    <row r="533" customFormat="1" hidden="1" x14ac:dyDescent="0.2"/>
    <row r="534" customFormat="1" hidden="1" x14ac:dyDescent="0.2"/>
    <row r="535" customFormat="1" hidden="1" x14ac:dyDescent="0.2"/>
    <row r="536" customFormat="1" hidden="1" x14ac:dyDescent="0.2"/>
    <row r="537" customFormat="1" hidden="1" x14ac:dyDescent="0.2"/>
    <row r="538" customFormat="1" hidden="1" x14ac:dyDescent="0.2"/>
    <row r="539" customFormat="1" hidden="1" x14ac:dyDescent="0.2"/>
    <row r="540" customFormat="1" hidden="1" x14ac:dyDescent="0.2"/>
    <row r="541" customFormat="1" hidden="1" x14ac:dyDescent="0.2"/>
    <row r="542" customFormat="1" hidden="1" x14ac:dyDescent="0.2"/>
    <row r="543" customFormat="1" hidden="1" x14ac:dyDescent="0.2"/>
    <row r="544" customFormat="1" hidden="1" x14ac:dyDescent="0.2"/>
    <row r="545" customFormat="1" hidden="1" x14ac:dyDescent="0.2"/>
    <row r="546" customFormat="1" hidden="1" x14ac:dyDescent="0.2"/>
    <row r="547" customFormat="1" hidden="1" x14ac:dyDescent="0.2"/>
    <row r="548" customFormat="1" hidden="1" x14ac:dyDescent="0.2"/>
    <row r="549" customFormat="1" hidden="1" x14ac:dyDescent="0.2"/>
    <row r="550" customFormat="1" hidden="1" x14ac:dyDescent="0.2"/>
    <row r="551" customFormat="1" hidden="1" x14ac:dyDescent="0.2"/>
    <row r="552" customFormat="1" hidden="1" x14ac:dyDescent="0.2"/>
    <row r="553" customFormat="1" hidden="1" x14ac:dyDescent="0.2"/>
    <row r="554" customFormat="1" hidden="1" x14ac:dyDescent="0.2"/>
    <row r="555" customFormat="1" hidden="1" x14ac:dyDescent="0.2"/>
    <row r="556" customFormat="1" hidden="1" x14ac:dyDescent="0.2"/>
    <row r="557" customFormat="1" x14ac:dyDescent="0.2"/>
    <row r="558" customFormat="1" x14ac:dyDescent="0.2"/>
    <row r="559" customFormat="1" x14ac:dyDescent="0.2"/>
    <row r="560" customFormat="1" x14ac:dyDescent="0.2"/>
    <row r="561" customFormat="1" x14ac:dyDescent="0.2"/>
    <row r="562" customFormat="1" x14ac:dyDescent="0.2"/>
    <row r="563" customFormat="1" x14ac:dyDescent="0.2"/>
    <row r="564" customFormat="1" x14ac:dyDescent="0.2"/>
    <row r="565" customFormat="1" x14ac:dyDescent="0.2"/>
    <row r="566" customFormat="1" x14ac:dyDescent="0.2"/>
    <row r="567" customFormat="1" x14ac:dyDescent="0.2"/>
    <row r="568" customFormat="1" x14ac:dyDescent="0.2"/>
    <row r="569" customFormat="1" x14ac:dyDescent="0.2"/>
    <row r="570" customFormat="1" x14ac:dyDescent="0.2"/>
    <row r="571" customFormat="1" x14ac:dyDescent="0.2"/>
    <row r="572" customFormat="1" x14ac:dyDescent="0.2"/>
    <row r="573" customFormat="1" x14ac:dyDescent="0.2"/>
    <row r="574" customFormat="1" x14ac:dyDescent="0.2"/>
    <row r="575" customFormat="1" x14ac:dyDescent="0.2"/>
    <row r="576" customFormat="1" x14ac:dyDescent="0.2"/>
    <row r="577" customFormat="1" x14ac:dyDescent="0.2"/>
    <row r="578" customFormat="1" x14ac:dyDescent="0.2"/>
    <row r="579" customFormat="1" x14ac:dyDescent="0.2"/>
    <row r="580" customFormat="1" x14ac:dyDescent="0.2"/>
    <row r="581" customFormat="1" x14ac:dyDescent="0.2"/>
    <row r="582" customFormat="1" x14ac:dyDescent="0.2"/>
    <row r="583" customFormat="1" x14ac:dyDescent="0.2"/>
    <row r="584" customFormat="1" x14ac:dyDescent="0.2"/>
    <row r="585" customFormat="1" x14ac:dyDescent="0.2"/>
    <row r="586" customFormat="1" x14ac:dyDescent="0.2"/>
    <row r="587" customFormat="1" x14ac:dyDescent="0.2"/>
    <row r="588" customFormat="1" x14ac:dyDescent="0.2"/>
    <row r="589" customFormat="1" x14ac:dyDescent="0.2"/>
    <row r="590" customFormat="1" x14ac:dyDescent="0.2"/>
    <row r="591" customFormat="1" x14ac:dyDescent="0.2"/>
    <row r="592" customFormat="1" x14ac:dyDescent="0.2"/>
    <row r="593" customFormat="1" x14ac:dyDescent="0.2"/>
    <row r="594" customFormat="1" x14ac:dyDescent="0.2"/>
    <row r="595" customFormat="1" x14ac:dyDescent="0.2"/>
    <row r="596" customFormat="1" x14ac:dyDescent="0.2"/>
    <row r="597" customFormat="1" x14ac:dyDescent="0.2"/>
    <row r="598" customFormat="1" x14ac:dyDescent="0.2"/>
    <row r="599" customFormat="1" x14ac:dyDescent="0.2"/>
    <row r="600" customFormat="1" x14ac:dyDescent="0.2"/>
    <row r="601" customFormat="1" x14ac:dyDescent="0.2"/>
    <row r="602" customFormat="1" x14ac:dyDescent="0.2"/>
    <row r="603" customFormat="1" x14ac:dyDescent="0.2"/>
    <row r="604" customFormat="1" x14ac:dyDescent="0.2"/>
    <row r="605" customFormat="1" x14ac:dyDescent="0.2"/>
    <row r="606" customFormat="1" x14ac:dyDescent="0.2"/>
    <row r="607" customFormat="1" x14ac:dyDescent="0.2"/>
    <row r="608" customFormat="1" x14ac:dyDescent="0.2"/>
    <row r="609" customFormat="1" x14ac:dyDescent="0.2"/>
    <row r="610" customFormat="1" x14ac:dyDescent="0.2"/>
    <row r="611" customFormat="1" x14ac:dyDescent="0.2"/>
    <row r="612" customFormat="1" x14ac:dyDescent="0.2"/>
    <row r="613" customFormat="1" x14ac:dyDescent="0.2"/>
    <row r="614" customFormat="1" x14ac:dyDescent="0.2"/>
    <row r="615" customFormat="1" x14ac:dyDescent="0.2"/>
    <row r="616" customFormat="1" x14ac:dyDescent="0.2"/>
    <row r="617" customFormat="1" x14ac:dyDescent="0.2"/>
    <row r="618" customFormat="1" x14ac:dyDescent="0.2"/>
    <row r="619" customFormat="1" x14ac:dyDescent="0.2"/>
    <row r="620" customFormat="1" x14ac:dyDescent="0.2"/>
    <row r="621" customFormat="1" x14ac:dyDescent="0.2"/>
    <row r="622" customFormat="1" x14ac:dyDescent="0.2"/>
    <row r="623" customFormat="1" x14ac:dyDescent="0.2"/>
    <row r="624" customFormat="1" x14ac:dyDescent="0.2"/>
    <row r="625" customFormat="1" x14ac:dyDescent="0.2"/>
    <row r="626" customFormat="1" x14ac:dyDescent="0.2"/>
    <row r="627" customFormat="1" x14ac:dyDescent="0.2"/>
    <row r="628" customFormat="1" x14ac:dyDescent="0.2"/>
    <row r="629" customFormat="1" x14ac:dyDescent="0.2"/>
    <row r="630" customFormat="1" x14ac:dyDescent="0.2"/>
    <row r="631" customFormat="1" x14ac:dyDescent="0.2"/>
    <row r="632" customFormat="1" x14ac:dyDescent="0.2"/>
    <row r="633" customFormat="1" x14ac:dyDescent="0.2"/>
    <row r="634" customFormat="1" x14ac:dyDescent="0.2"/>
    <row r="635" customFormat="1" x14ac:dyDescent="0.2"/>
    <row r="636" customFormat="1" x14ac:dyDescent="0.2"/>
    <row r="637" customFormat="1" x14ac:dyDescent="0.2"/>
    <row r="638" customFormat="1" x14ac:dyDescent="0.2"/>
    <row r="639" customFormat="1" x14ac:dyDescent="0.2"/>
    <row r="640" customFormat="1" x14ac:dyDescent="0.2"/>
    <row r="641" customFormat="1" x14ac:dyDescent="0.2"/>
    <row r="642" customFormat="1" x14ac:dyDescent="0.2"/>
    <row r="643" customFormat="1" x14ac:dyDescent="0.2"/>
    <row r="644" customFormat="1" x14ac:dyDescent="0.2"/>
    <row r="645" customFormat="1" x14ac:dyDescent="0.2"/>
    <row r="646" customFormat="1" x14ac:dyDescent="0.2"/>
    <row r="647" customFormat="1" x14ac:dyDescent="0.2"/>
    <row r="648" customFormat="1" x14ac:dyDescent="0.2"/>
    <row r="649" customFormat="1" x14ac:dyDescent="0.2"/>
    <row r="650" customFormat="1" x14ac:dyDescent="0.2"/>
    <row r="651" customFormat="1" x14ac:dyDescent="0.2"/>
    <row r="652" customFormat="1" x14ac:dyDescent="0.2"/>
    <row r="653" customFormat="1" x14ac:dyDescent="0.2"/>
    <row r="654" customFormat="1" x14ac:dyDescent="0.2"/>
    <row r="655" customFormat="1" x14ac:dyDescent="0.2"/>
    <row r="656" customFormat="1" x14ac:dyDescent="0.2"/>
    <row r="657" customFormat="1" x14ac:dyDescent="0.2"/>
    <row r="658" customFormat="1" x14ac:dyDescent="0.2"/>
    <row r="659" customFormat="1" x14ac:dyDescent="0.2"/>
    <row r="660" customFormat="1" x14ac:dyDescent="0.2"/>
    <row r="661" customFormat="1" x14ac:dyDescent="0.2"/>
    <row r="662" customFormat="1" x14ac:dyDescent="0.2"/>
    <row r="663" customFormat="1" x14ac:dyDescent="0.2"/>
    <row r="664" customFormat="1" x14ac:dyDescent="0.2"/>
    <row r="665" customFormat="1" x14ac:dyDescent="0.2"/>
    <row r="666" customFormat="1" x14ac:dyDescent="0.2"/>
    <row r="667" customFormat="1" x14ac:dyDescent="0.2"/>
    <row r="668" customFormat="1" x14ac:dyDescent="0.2"/>
    <row r="669" customFormat="1" x14ac:dyDescent="0.2"/>
    <row r="670" customFormat="1" x14ac:dyDescent="0.2"/>
  </sheetData>
  <conditionalFormatting sqref="J3:J11">
    <cfRule type="notContainsBlanks" dxfId="2" priority="2">
      <formula>LEN(TRIM(J3))&gt;0</formula>
    </cfRule>
    <cfRule type="containsBlanks" dxfId="1" priority="3">
      <formula>LEN(TRIM(J3))=0</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70437-DF8B-724C-BBFE-A693BDEB070C}">
  <sheetPr>
    <tabColor theme="9" tint="0.59999389629810485"/>
  </sheetPr>
  <dimension ref="A1:O106"/>
  <sheetViews>
    <sheetView workbookViewId="0">
      <pane ySplit="1" topLeftCell="A2" activePane="bottomLeft" state="frozen"/>
      <selection pane="bottomLeft" activeCell="F9" sqref="F9"/>
    </sheetView>
  </sheetViews>
  <sheetFormatPr baseColWidth="10" defaultColWidth="8.83203125" defaultRowHeight="15" x14ac:dyDescent="0.2"/>
  <cols>
    <col min="1" max="1" width="30.5" bestFit="1" customWidth="1"/>
    <col min="2" max="2" width="16.83203125" style="90" bestFit="1" customWidth="1"/>
    <col min="3" max="3" width="12.1640625" bestFit="1" customWidth="1"/>
    <col min="4" max="4" width="28.6640625" hidden="1" customWidth="1"/>
    <col min="5" max="5" width="57.6640625" bestFit="1" customWidth="1"/>
    <col min="6" max="6" width="29.1640625" customWidth="1"/>
    <col min="7" max="7" width="26.83203125" bestFit="1" customWidth="1"/>
    <col min="12" max="12" width="5.1640625" customWidth="1"/>
    <col min="13" max="13" width="15.5" bestFit="1" customWidth="1"/>
    <col min="14" max="14" width="11.5" bestFit="1" customWidth="1"/>
    <col min="15" max="15" width="10.6640625" bestFit="1" customWidth="1"/>
    <col min="17" max="17" width="10.1640625" customWidth="1"/>
    <col min="18" max="18" width="10.6640625" bestFit="1" customWidth="1"/>
  </cols>
  <sheetData>
    <row r="1" spans="1:9" x14ac:dyDescent="0.2">
      <c r="A1" s="150" t="s">
        <v>343</v>
      </c>
      <c r="B1" s="151" t="s">
        <v>344</v>
      </c>
      <c r="C1" s="152" t="s">
        <v>345</v>
      </c>
      <c r="D1" s="152" t="s">
        <v>346</v>
      </c>
      <c r="E1" s="152" t="s">
        <v>347</v>
      </c>
      <c r="F1" s="167" t="s">
        <v>355</v>
      </c>
    </row>
    <row r="2" spans="1:9" ht="16" customHeight="1" x14ac:dyDescent="0.2">
      <c r="A2" s="156" t="s">
        <v>304</v>
      </c>
      <c r="B2" s="157">
        <v>132830</v>
      </c>
      <c r="C2" s="158">
        <v>46084</v>
      </c>
      <c r="E2" s="84" t="s">
        <v>348</v>
      </c>
      <c r="F2" s="84" t="s">
        <v>349</v>
      </c>
    </row>
    <row r="3" spans="1:9" ht="16" customHeight="1" x14ac:dyDescent="0.2">
      <c r="A3" s="105" t="s">
        <v>302</v>
      </c>
      <c r="B3" s="154">
        <v>40125</v>
      </c>
      <c r="C3" s="155">
        <v>46093</v>
      </c>
      <c r="D3" s="105"/>
      <c r="E3" s="105" t="s">
        <v>350</v>
      </c>
    </row>
    <row r="4" spans="1:9" ht="16" customHeight="1" x14ac:dyDescent="0.2">
      <c r="A4" t="s">
        <v>302</v>
      </c>
      <c r="B4" s="90">
        <v>34560</v>
      </c>
      <c r="C4" s="149">
        <v>46095</v>
      </c>
    </row>
    <row r="5" spans="1:9" ht="16" customHeight="1" x14ac:dyDescent="0.2">
      <c r="A5" t="s">
        <v>356</v>
      </c>
      <c r="B5" s="90">
        <v>25180</v>
      </c>
      <c r="C5" s="149">
        <v>46094</v>
      </c>
      <c r="E5" t="s">
        <v>351</v>
      </c>
    </row>
    <row r="6" spans="1:9" ht="16" customHeight="1" x14ac:dyDescent="0.2">
      <c r="A6" t="s">
        <v>336</v>
      </c>
      <c r="B6" s="90">
        <v>26256</v>
      </c>
      <c r="C6" s="149">
        <v>46101</v>
      </c>
      <c r="E6" t="s">
        <v>352</v>
      </c>
      <c r="F6" s="147">
        <v>260350</v>
      </c>
    </row>
    <row r="7" spans="1:9" ht="80" x14ac:dyDescent="0.2">
      <c r="A7" s="160" t="s">
        <v>337</v>
      </c>
      <c r="B7" s="161">
        <v>99990</v>
      </c>
      <c r="C7" s="162">
        <v>46192</v>
      </c>
      <c r="D7" s="105"/>
      <c r="E7" s="163" t="s">
        <v>353</v>
      </c>
      <c r="F7" s="83" t="s">
        <v>354</v>
      </c>
      <c r="I7" s="159"/>
    </row>
    <row r="8" spans="1:9" x14ac:dyDescent="0.2">
      <c r="C8" s="149"/>
    </row>
    <row r="9" spans="1:9" x14ac:dyDescent="0.2">
      <c r="C9" s="149"/>
    </row>
    <row r="10" spans="1:9" x14ac:dyDescent="0.2">
      <c r="C10" s="149"/>
    </row>
    <row r="11" spans="1:9" x14ac:dyDescent="0.2">
      <c r="C11" s="149"/>
    </row>
    <row r="12" spans="1:9" x14ac:dyDescent="0.2">
      <c r="C12" s="149"/>
    </row>
    <row r="13" spans="1:9" x14ac:dyDescent="0.2">
      <c r="C13" s="149"/>
    </row>
    <row r="14" spans="1:9" x14ac:dyDescent="0.2">
      <c r="C14" s="149"/>
    </row>
    <row r="15" spans="1:9" x14ac:dyDescent="0.2">
      <c r="C15" s="149"/>
    </row>
    <row r="16" spans="1:9" x14ac:dyDescent="0.2">
      <c r="C16" s="149"/>
    </row>
    <row r="17" spans="3:3" x14ac:dyDescent="0.2">
      <c r="C17" s="149"/>
    </row>
    <row r="18" spans="3:3" x14ac:dyDescent="0.2">
      <c r="C18" s="149"/>
    </row>
    <row r="19" spans="3:3" x14ac:dyDescent="0.2">
      <c r="C19" s="149"/>
    </row>
    <row r="20" spans="3:3" x14ac:dyDescent="0.2">
      <c r="C20" s="149"/>
    </row>
    <row r="21" spans="3:3" x14ac:dyDescent="0.2">
      <c r="C21" s="149"/>
    </row>
    <row r="22" spans="3:3" x14ac:dyDescent="0.2">
      <c r="C22" s="149"/>
    </row>
    <row r="23" spans="3:3" x14ac:dyDescent="0.2">
      <c r="C23" s="149"/>
    </row>
    <row r="24" spans="3:3" x14ac:dyDescent="0.2">
      <c r="C24" s="149"/>
    </row>
    <row r="25" spans="3:3" x14ac:dyDescent="0.2">
      <c r="C25" s="149"/>
    </row>
    <row r="26" spans="3:3" x14ac:dyDescent="0.2">
      <c r="C26" s="149"/>
    </row>
    <row r="27" spans="3:3" x14ac:dyDescent="0.2">
      <c r="C27" s="149"/>
    </row>
    <row r="28" spans="3:3" x14ac:dyDescent="0.2">
      <c r="C28" s="149"/>
    </row>
    <row r="29" spans="3:3" x14ac:dyDescent="0.2">
      <c r="C29" s="149"/>
    </row>
    <row r="30" spans="3:3" x14ac:dyDescent="0.2">
      <c r="C30" s="149"/>
    </row>
    <row r="31" spans="3:3" x14ac:dyDescent="0.2">
      <c r="C31" s="149"/>
    </row>
    <row r="32" spans="3:3" x14ac:dyDescent="0.2">
      <c r="C32" s="149"/>
    </row>
    <row r="33" spans="3:3" x14ac:dyDescent="0.2">
      <c r="C33" s="149"/>
    </row>
    <row r="34" spans="3:3" x14ac:dyDescent="0.2">
      <c r="C34" s="149"/>
    </row>
    <row r="35" spans="3:3" x14ac:dyDescent="0.2">
      <c r="C35" s="149"/>
    </row>
    <row r="36" spans="3:3" x14ac:dyDescent="0.2">
      <c r="C36" s="149"/>
    </row>
    <row r="37" spans="3:3" x14ac:dyDescent="0.2">
      <c r="C37" s="149"/>
    </row>
    <row r="38" spans="3:3" x14ac:dyDescent="0.2">
      <c r="C38" s="149"/>
    </row>
    <row r="39" spans="3:3" x14ac:dyDescent="0.2">
      <c r="C39" s="149"/>
    </row>
    <row r="40" spans="3:3" x14ac:dyDescent="0.2">
      <c r="C40" s="149"/>
    </row>
    <row r="41" spans="3:3" x14ac:dyDescent="0.2">
      <c r="C41" s="149"/>
    </row>
    <row r="42" spans="3:3" x14ac:dyDescent="0.2">
      <c r="C42" s="149"/>
    </row>
    <row r="43" spans="3:3" x14ac:dyDescent="0.2">
      <c r="C43" s="149"/>
    </row>
    <row r="44" spans="3:3" x14ac:dyDescent="0.2">
      <c r="C44" s="149"/>
    </row>
    <row r="45" spans="3:3" x14ac:dyDescent="0.2">
      <c r="C45" s="149"/>
    </row>
    <row r="46" spans="3:3" x14ac:dyDescent="0.2">
      <c r="C46" s="149"/>
    </row>
    <row r="47" spans="3:3" x14ac:dyDescent="0.2">
      <c r="C47" s="149"/>
    </row>
    <row r="48" spans="3:3" x14ac:dyDescent="0.2">
      <c r="C48" s="149"/>
    </row>
    <row r="49" spans="1:15" x14ac:dyDescent="0.2">
      <c r="C49" s="149"/>
    </row>
    <row r="50" spans="1:15" x14ac:dyDescent="0.2">
      <c r="C50" s="149"/>
    </row>
    <row r="51" spans="1:15" x14ac:dyDescent="0.2">
      <c r="C51" s="149"/>
    </row>
    <row r="52" spans="1:15" x14ac:dyDescent="0.2">
      <c r="C52" s="149"/>
    </row>
    <row r="53" spans="1:15" x14ac:dyDescent="0.2">
      <c r="A53" s="83"/>
      <c r="C53" s="149"/>
    </row>
    <row r="54" spans="1:15" x14ac:dyDescent="0.2">
      <c r="C54" s="149"/>
    </row>
    <row r="55" spans="1:15" x14ac:dyDescent="0.2">
      <c r="C55" s="149"/>
    </row>
    <row r="56" spans="1:15" x14ac:dyDescent="0.2">
      <c r="C56" s="149"/>
    </row>
    <row r="57" spans="1:15" x14ac:dyDescent="0.2">
      <c r="C57" s="149"/>
    </row>
    <row r="58" spans="1:15" x14ac:dyDescent="0.2">
      <c r="C58" s="149"/>
    </row>
    <row r="59" spans="1:15" x14ac:dyDescent="0.2">
      <c r="C59" s="149"/>
    </row>
    <row r="60" spans="1:15" x14ac:dyDescent="0.2">
      <c r="C60" s="149"/>
      <c r="M60" s="164"/>
      <c r="N60" s="164"/>
    </row>
    <row r="61" spans="1:15" x14ac:dyDescent="0.2">
      <c r="C61" s="149"/>
    </row>
    <row r="62" spans="1:15" x14ac:dyDescent="0.2">
      <c r="C62" s="149"/>
    </row>
    <row r="63" spans="1:15" x14ac:dyDescent="0.2">
      <c r="C63" s="149"/>
      <c r="N63" s="165"/>
      <c r="O63" s="149"/>
    </row>
    <row r="64" spans="1:15" x14ac:dyDescent="0.2">
      <c r="C64" s="149"/>
      <c r="N64" s="165"/>
      <c r="O64" s="149"/>
    </row>
    <row r="65" spans="3:15" x14ac:dyDescent="0.2">
      <c r="C65" s="149"/>
      <c r="N65" s="165"/>
      <c r="O65" s="149"/>
    </row>
    <row r="66" spans="3:15" x14ac:dyDescent="0.2">
      <c r="C66" s="149"/>
      <c r="M66" s="112"/>
      <c r="N66" s="166"/>
    </row>
    <row r="67" spans="3:15" x14ac:dyDescent="0.2">
      <c r="C67" s="149"/>
    </row>
    <row r="68" spans="3:15" x14ac:dyDescent="0.2">
      <c r="C68" s="149"/>
    </row>
    <row r="69" spans="3:15" x14ac:dyDescent="0.2">
      <c r="C69" s="149"/>
    </row>
    <row r="70" spans="3:15" x14ac:dyDescent="0.2">
      <c r="C70" s="149"/>
    </row>
    <row r="71" spans="3:15" x14ac:dyDescent="0.2">
      <c r="C71" s="149"/>
    </row>
    <row r="72" spans="3:15" x14ac:dyDescent="0.2">
      <c r="C72" s="149"/>
    </row>
    <row r="73" spans="3:15" x14ac:dyDescent="0.2">
      <c r="C73" s="149"/>
    </row>
    <row r="74" spans="3:15" x14ac:dyDescent="0.2">
      <c r="C74" s="149"/>
    </row>
    <row r="75" spans="3:15" x14ac:dyDescent="0.2">
      <c r="C75" s="149"/>
    </row>
    <row r="76" spans="3:15" x14ac:dyDescent="0.2">
      <c r="C76" s="149"/>
    </row>
    <row r="77" spans="3:15" x14ac:dyDescent="0.2">
      <c r="C77" s="149"/>
    </row>
    <row r="78" spans="3:15" x14ac:dyDescent="0.2">
      <c r="C78" s="149"/>
    </row>
    <row r="79" spans="3:15" x14ac:dyDescent="0.2">
      <c r="C79" s="149"/>
    </row>
    <row r="80" spans="3:15" x14ac:dyDescent="0.2">
      <c r="C80" s="149"/>
    </row>
    <row r="81" spans="2:3" x14ac:dyDescent="0.2">
      <c r="C81" s="149"/>
    </row>
    <row r="82" spans="2:3" x14ac:dyDescent="0.2">
      <c r="C82" s="149"/>
    </row>
    <row r="83" spans="2:3" x14ac:dyDescent="0.2">
      <c r="C83" s="149"/>
    </row>
    <row r="84" spans="2:3" x14ac:dyDescent="0.2">
      <c r="C84" s="149"/>
    </row>
    <row r="85" spans="2:3" x14ac:dyDescent="0.2">
      <c r="C85" s="149"/>
    </row>
    <row r="86" spans="2:3" x14ac:dyDescent="0.2">
      <c r="C86" s="149"/>
    </row>
    <row r="87" spans="2:3" x14ac:dyDescent="0.2">
      <c r="C87" s="149"/>
    </row>
    <row r="88" spans="2:3" x14ac:dyDescent="0.2">
      <c r="C88" s="149"/>
    </row>
    <row r="89" spans="2:3" x14ac:dyDescent="0.2">
      <c r="C89" s="149"/>
    </row>
    <row r="90" spans="2:3" x14ac:dyDescent="0.2">
      <c r="C90" s="149"/>
    </row>
    <row r="91" spans="2:3" x14ac:dyDescent="0.2">
      <c r="B91" s="153"/>
      <c r="C91" s="149"/>
    </row>
    <row r="92" spans="2:3" x14ac:dyDescent="0.2">
      <c r="C92" s="149"/>
    </row>
    <row r="93" spans="2:3" x14ac:dyDescent="0.2">
      <c r="C93" s="149"/>
    </row>
    <row r="94" spans="2:3" x14ac:dyDescent="0.2">
      <c r="C94" s="149"/>
    </row>
    <row r="95" spans="2:3" x14ac:dyDescent="0.2">
      <c r="C95" s="149"/>
    </row>
    <row r="96" spans="2:3" x14ac:dyDescent="0.2">
      <c r="C96" s="149"/>
    </row>
    <row r="97" spans="3:3" x14ac:dyDescent="0.2">
      <c r="C97" s="149"/>
    </row>
    <row r="98" spans="3:3" x14ac:dyDescent="0.2">
      <c r="C98" s="149"/>
    </row>
    <row r="99" spans="3:3" x14ac:dyDescent="0.2">
      <c r="C99" s="149"/>
    </row>
    <row r="100" spans="3:3" x14ac:dyDescent="0.2">
      <c r="C100" s="149"/>
    </row>
    <row r="101" spans="3:3" x14ac:dyDescent="0.2">
      <c r="C101" s="149"/>
    </row>
    <row r="102" spans="3:3" x14ac:dyDescent="0.2">
      <c r="C102" s="149"/>
    </row>
    <row r="103" spans="3:3" x14ac:dyDescent="0.2">
      <c r="C103" s="149"/>
    </row>
    <row r="104" spans="3:3" x14ac:dyDescent="0.2">
      <c r="C104" s="149"/>
    </row>
    <row r="105" spans="3:3" x14ac:dyDescent="0.2">
      <c r="C105" s="149"/>
    </row>
    <row r="106" spans="3:3" x14ac:dyDescent="0.2">
      <c r="C106" s="149"/>
    </row>
  </sheetData>
  <conditionalFormatting sqref="F1 A1:E44">
    <cfRule type="expression" dxfId="0" priority="1">
      <formula>$A1&lt;&gt;""</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Thông tin tổng hơp</vt:lpstr>
      <vt:lpstr>Các task chính cần có</vt:lpstr>
      <vt:lpstr>Ví dụ sắp xếp giấy</vt:lpstr>
      <vt:lpstr>Theo dõi hàng nhập hằng ngày</vt:lpstr>
      <vt:lpstr>đưa vào sản xuất</vt:lpstr>
      <vt:lpstr>Xuất khẩu - đơn hàng</vt:lpstr>
      <vt:lpstr>Xuất khẩu -PAYMENT TRACKING</vt:lpstr>
      <vt:lpstr>Xuất khẩu _ DEPOSIT </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Eric Bui</cp:lastModifiedBy>
  <cp:lastPrinted>2025-03-05T03:43:37Z</cp:lastPrinted>
  <dcterms:created xsi:type="dcterms:W3CDTF">2022-10-21T05:04:28Z</dcterms:created>
  <dcterms:modified xsi:type="dcterms:W3CDTF">2026-08-17T07:29:44Z</dcterms:modified>
</cp:coreProperties>
</file>